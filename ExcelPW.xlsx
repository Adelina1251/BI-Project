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4.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11"/>
  <workbookPr filterPrivacy="1" hidePivotFieldList="1" defaultThemeVersion="124226"/>
  <xr:revisionPtr revIDLastSave="0" documentId="13_ncr:1_{CACF1E0B-7C6F-4BE4-979D-2A2CE2624B10}" xr6:coauthVersionLast="47" xr6:coauthVersionMax="47" xr10:uidLastSave="{00000000-0000-0000-0000-000000000000}"/>
  <bookViews>
    <workbookView xWindow="-108" yWindow="-108" windowWidth="23256" windowHeight="12576" xr2:uid="{00000000-000D-0000-FFFF-FFFF00000000}"/>
  </bookViews>
  <sheets>
    <sheet name="HELPER" sheetId="7" r:id="rId1"/>
    <sheet name="loan_data_set" sheetId="6" r:id="rId2"/>
  </sheets>
  <definedNames>
    <definedName name="_xlcn.WorksheetConnection_Part3.xlsxloan_data_set1" hidden="1">loan_data_set[]</definedName>
    <definedName name="_xlcn.WorksheetConnection_Part3.xlsxTable11" hidden="1">Table1</definedName>
    <definedName name="ExternalData_2" localSheetId="1" hidden="1">loan_data_set!$A$1:$M$615</definedName>
    <definedName name="Slicer_Education">#N/A</definedName>
    <definedName name="Slicer_Gender">#N/A</definedName>
    <definedName name="Slicer_Property_Area">#N/A</definedName>
    <definedName name="Slicer_Self_Employed">#N/A</definedName>
  </definedNames>
  <calcPr calcId="191028"/>
  <pivotCaches>
    <pivotCache cacheId="1082" r:id="rId3"/>
    <pivotCache cacheId="1083" r:id="rId4"/>
    <pivotCache cacheId="108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841E416B-1EF1-43b6-AB56-02D37102CBD5}">
      <x15:pivotCaches>
        <pivotCache cacheId="1085" r:id="rId10"/>
      </x15:pivotCaches>
    </ext>
    <ext xmlns:x15="http://schemas.microsoft.com/office/spreadsheetml/2010/11/main" uri="{983426D0-5260-488c-9760-48F4B6AC55F4}">
      <x15:pivotTableReferences>
        <x15:pivotTableReference r:id="rId11"/>
      </x15:pivotTableReferences>
    </ext>
    <ext xmlns:x15="http://schemas.microsoft.com/office/spreadsheetml/2010/11/main" uri="{FCE2AD5D-F65C-4FA6-A056-5C36A1767C68}">
      <x15:dataModel>
        <x15:modelTables>
          <x15:modelTable id="loan_data_set  2_8bd8c5f6-65dd-496f-ab31-bee105b76ed2" name="loan_data_set  2" connection="Query - loan_data_set (2)"/>
          <x15:modelTable id="Table1" name="View" connection="WorksheetConnection_Part3.xlsx!Table1"/>
          <x15:modelTable id="loan_data_set" name="loan_data_set" connection="WorksheetConnection_Part3.xlsx!loan_data_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6" l="1"/>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EDD82A-AD23-49CA-8143-5A075F617DD0}" keepAlive="1" name="Query - loan_data_set" description="Connection to the 'loan_data_set' query in the workbook." type="5" refreshedVersion="7" background="1" saveData="1">
    <dbPr connection="Provider=Microsoft.Mashup.OleDb.1;Data Source=$Workbook$;Location=loan_data_set;Extended Properties=&quot;&quot;" command="SELECT * FROM [loan_data_set]"/>
  </connection>
  <connection id="2" xr16:uid="{CC94C767-ED26-4D00-97C5-89D6F0C53667}" name="Query - loan_data_set (2)" description="Connection to the 'loan_data_set (2)' query in the workbook." type="100" refreshedVersion="7" minRefreshableVersion="5">
    <extLst>
      <ext xmlns:x15="http://schemas.microsoft.com/office/spreadsheetml/2010/11/main" uri="{DE250136-89BD-433C-8126-D09CA5730AF9}">
        <x15:connection id="804a3d52-570c-49d5-9230-bb0621f27fe2"/>
      </ext>
    </extLst>
  </connection>
  <connection id="3" xr16:uid="{5D8948CE-6557-472B-A128-67DED7CF3B65}" keepAlive="1" name="Query - Training Data" description="Connection to the 'Training Data' query in the workbook." type="5" refreshedVersion="7" background="1" saveData="1">
    <dbPr connection="Provider=Microsoft.Mashup.OleDb.1;Data Source=$Workbook$;Location=&quot;Training Data&quot;;Extended Properties=&quot;&quot;" command="SELECT * FROM [Training Data]"/>
  </connection>
  <connection id="4" xr16:uid="{00000000-0015-0000-FFFF-FFFF01000000}"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E2CB1209-D644-45E1-B533-561024EAEA4C}" name="WorksheetConnection_Part3.xlsx!loan_data_set" type="102" refreshedVersion="7" minRefreshableVersion="5">
    <extLst>
      <ext xmlns:x15="http://schemas.microsoft.com/office/spreadsheetml/2010/11/main" uri="{DE250136-89BD-433C-8126-D09CA5730AF9}">
        <x15:connection id="loan_data_set">
          <x15:rangePr sourceName="_xlcn.WorksheetConnection_Part3.xlsxloan_data_set1"/>
        </x15:connection>
      </ext>
    </extLst>
  </connection>
  <connection id="6" xr16:uid="{24801F1C-CB64-4F16-9E9C-9FD53FD142A0}" name="WorksheetConnection_Part3.xlsx!Table1" type="102" refreshedVersion="7" minRefreshableVersion="5">
    <extLst>
      <ext xmlns:x15="http://schemas.microsoft.com/office/spreadsheetml/2010/11/main" uri="{DE250136-89BD-433C-8126-D09CA5730AF9}">
        <x15:connection id="Table1">
          <x15:rangePr sourceName="_xlcn.WorksheetConnection_Part3.xlsxTable11"/>
        </x15:connection>
      </ext>
    </extLst>
  </connection>
</connections>
</file>

<file path=xl/sharedStrings.xml><?xml version="1.0" encoding="utf-8"?>
<sst xmlns="http://schemas.openxmlformats.org/spreadsheetml/2006/main" count="4424" uniqueCount="654">
  <si>
    <t>Sum of LoanAmount</t>
  </si>
  <si>
    <t>Column Labels</t>
  </si>
  <si>
    <t>Row Labels</t>
  </si>
  <si>
    <t>Rural</t>
  </si>
  <si>
    <t>Semiurban</t>
  </si>
  <si>
    <t>Urban</t>
  </si>
  <si>
    <t>Grand Total</t>
  </si>
  <si>
    <t>Graduate</t>
  </si>
  <si>
    <t>Female</t>
  </si>
  <si>
    <t>No</t>
  </si>
  <si>
    <t>Yes</t>
  </si>
  <si>
    <t>Not Graduate</t>
  </si>
  <si>
    <t>Total Average income</t>
  </si>
  <si>
    <t>Total Sum of ApplicantIncome</t>
  </si>
  <si>
    <t>Total Loan Interest</t>
  </si>
  <si>
    <t>Total Average income Status</t>
  </si>
  <si>
    <t>Average income</t>
  </si>
  <si>
    <t>Sum of ApplicantIncome</t>
  </si>
  <si>
    <t>Loan Interest</t>
  </si>
  <si>
    <t>Average income Status</t>
  </si>
  <si>
    <t/>
  </si>
  <si>
    <t>Above average</t>
  </si>
  <si>
    <t>Problem zone</t>
  </si>
  <si>
    <t>Male</t>
  </si>
  <si>
    <t>Loan_ID</t>
  </si>
  <si>
    <t>Gender</t>
  </si>
  <si>
    <t>Married</t>
  </si>
  <si>
    <t>Dependents</t>
  </si>
  <si>
    <t>Education</t>
  </si>
  <si>
    <t>Self_Employed</t>
  </si>
  <si>
    <t>ApplicantIncome</t>
  </si>
  <si>
    <t>CoapplicantIncome</t>
  </si>
  <si>
    <t>LoanAmount</t>
  </si>
  <si>
    <t>Loan_Amount_Term</t>
  </si>
  <si>
    <t>Credit_History</t>
  </si>
  <si>
    <t>Property_Area</t>
  </si>
  <si>
    <t>Loan_Status</t>
  </si>
  <si>
    <t>Date</t>
  </si>
  <si>
    <t>LP001002</t>
  </si>
  <si>
    <t>Y</t>
  </si>
  <si>
    <t>LP001003</t>
  </si>
  <si>
    <t>N</t>
  </si>
  <si>
    <t>LP001005</t>
  </si>
  <si>
    <t>LP001006</t>
  </si>
  <si>
    <t>LP001008</t>
  </si>
  <si>
    <t>LP001011</t>
  </si>
  <si>
    <t>LP001013</t>
  </si>
  <si>
    <t>LP001014</t>
  </si>
  <si>
    <t>LP001018</t>
  </si>
  <si>
    <t>LP001020</t>
  </si>
  <si>
    <t>LP001024</t>
  </si>
  <si>
    <t>LP001027</t>
  </si>
  <si>
    <t>LP001028</t>
  </si>
  <si>
    <t>LP001029</t>
  </si>
  <si>
    <t>LP001030</t>
  </si>
  <si>
    <t>LP001032</t>
  </si>
  <si>
    <t>LP001034</t>
  </si>
  <si>
    <t>LP001036</t>
  </si>
  <si>
    <t>LP001038</t>
  </si>
  <si>
    <t>LP001041</t>
  </si>
  <si>
    <t>LP001043</t>
  </si>
  <si>
    <t>LP001046</t>
  </si>
  <si>
    <t>LP001047</t>
  </si>
  <si>
    <t>LP001050</t>
  </si>
  <si>
    <t>LP001052</t>
  </si>
  <si>
    <t>LP001066</t>
  </si>
  <si>
    <t>LP001068</t>
  </si>
  <si>
    <t>LP001073</t>
  </si>
  <si>
    <t>LP001086</t>
  </si>
  <si>
    <t>LP001087</t>
  </si>
  <si>
    <t>LP001091</t>
  </si>
  <si>
    <t>LP001095</t>
  </si>
  <si>
    <t>LP001097</t>
  </si>
  <si>
    <t>LP001098</t>
  </si>
  <si>
    <t>LP001100</t>
  </si>
  <si>
    <t>LP001106</t>
  </si>
  <si>
    <t>LP001109</t>
  </si>
  <si>
    <t>LP001112</t>
  </si>
  <si>
    <t>LP001114</t>
  </si>
  <si>
    <t>LP001116</t>
  </si>
  <si>
    <t>LP001119</t>
  </si>
  <si>
    <t>LP001120</t>
  </si>
  <si>
    <t>LP001123</t>
  </si>
  <si>
    <t>LP001131</t>
  </si>
  <si>
    <t>LP001136</t>
  </si>
  <si>
    <t>LP001137</t>
  </si>
  <si>
    <t>LP001138</t>
  </si>
  <si>
    <t>LP001144</t>
  </si>
  <si>
    <t>LP001146</t>
  </si>
  <si>
    <t>LP001151</t>
  </si>
  <si>
    <t>LP001155</t>
  </si>
  <si>
    <t>LP001157</t>
  </si>
  <si>
    <t>LP001164</t>
  </si>
  <si>
    <t>LP001179</t>
  </si>
  <si>
    <t>LP001186</t>
  </si>
  <si>
    <t>LP001194</t>
  </si>
  <si>
    <t>LP001195</t>
  </si>
  <si>
    <t>LP001197</t>
  </si>
  <si>
    <t>LP001198</t>
  </si>
  <si>
    <t>LP001199</t>
  </si>
  <si>
    <t>LP001205</t>
  </si>
  <si>
    <t>LP001206</t>
  </si>
  <si>
    <t>LP001207</t>
  </si>
  <si>
    <t>LP001213</t>
  </si>
  <si>
    <t>LP001222</t>
  </si>
  <si>
    <t>LP001225</t>
  </si>
  <si>
    <t>LP001228</t>
  </si>
  <si>
    <t>LP001233</t>
  </si>
  <si>
    <t>LP001238</t>
  </si>
  <si>
    <t>LP001241</t>
  </si>
  <si>
    <t>LP001243</t>
  </si>
  <si>
    <t>LP001245</t>
  </si>
  <si>
    <t>LP001248</t>
  </si>
  <si>
    <t>LP001250</t>
  </si>
  <si>
    <t>LP001253</t>
  </si>
  <si>
    <t>LP001255</t>
  </si>
  <si>
    <t>LP001256</t>
  </si>
  <si>
    <t>LP001259</t>
  </si>
  <si>
    <t>LP001263</t>
  </si>
  <si>
    <t>LP001264</t>
  </si>
  <si>
    <t>LP001265</t>
  </si>
  <si>
    <t>LP001266</t>
  </si>
  <si>
    <t>LP001267</t>
  </si>
  <si>
    <t>LP001273</t>
  </si>
  <si>
    <t>LP001275</t>
  </si>
  <si>
    <t>LP001279</t>
  </si>
  <si>
    <t>LP001280</t>
  </si>
  <si>
    <t>LP001282</t>
  </si>
  <si>
    <t>LP001289</t>
  </si>
  <si>
    <t>LP001310</t>
  </si>
  <si>
    <t>LP001316</t>
  </si>
  <si>
    <t>LP001318</t>
  </si>
  <si>
    <t>LP001319</t>
  </si>
  <si>
    <t>LP001322</t>
  </si>
  <si>
    <t>LP001325</t>
  </si>
  <si>
    <t>LP001326</t>
  </si>
  <si>
    <t>LP001327</t>
  </si>
  <si>
    <t>LP001333</t>
  </si>
  <si>
    <t>LP001334</t>
  </si>
  <si>
    <t>LP001343</t>
  </si>
  <si>
    <t>LP001345</t>
  </si>
  <si>
    <t>LP001349</t>
  </si>
  <si>
    <t>LP001350</t>
  </si>
  <si>
    <t>LP001356</t>
  </si>
  <si>
    <t>LP001357</t>
  </si>
  <si>
    <t>LP001367</t>
  </si>
  <si>
    <t>LP001369</t>
  </si>
  <si>
    <t>LP001370</t>
  </si>
  <si>
    <t>LP001379</t>
  </si>
  <si>
    <t>LP001384</t>
  </si>
  <si>
    <t>LP001385</t>
  </si>
  <si>
    <t>LP001387</t>
  </si>
  <si>
    <t>LP001391</t>
  </si>
  <si>
    <t>LP001392</t>
  </si>
  <si>
    <t>LP001398</t>
  </si>
  <si>
    <t>LP001401</t>
  </si>
  <si>
    <t>LP001404</t>
  </si>
  <si>
    <t>LP001405</t>
  </si>
  <si>
    <t>LP001421</t>
  </si>
  <si>
    <t>LP001422</t>
  </si>
  <si>
    <t>LP001426</t>
  </si>
  <si>
    <t>LP001430</t>
  </si>
  <si>
    <t>LP001431</t>
  </si>
  <si>
    <t>LP001432</t>
  </si>
  <si>
    <t>LP001439</t>
  </si>
  <si>
    <t>LP001443</t>
  </si>
  <si>
    <t>LP001448</t>
  </si>
  <si>
    <t>LP001449</t>
  </si>
  <si>
    <t>LP001451</t>
  </si>
  <si>
    <t>LP001465</t>
  </si>
  <si>
    <t>LP001469</t>
  </si>
  <si>
    <t>LP001473</t>
  </si>
  <si>
    <t>LP001478</t>
  </si>
  <si>
    <t>LP001482</t>
  </si>
  <si>
    <t>LP001487</t>
  </si>
  <si>
    <t>LP001488</t>
  </si>
  <si>
    <t>LP001489</t>
  </si>
  <si>
    <t>LP001491</t>
  </si>
  <si>
    <t>LP001492</t>
  </si>
  <si>
    <t>LP001493</t>
  </si>
  <si>
    <t>LP001497</t>
  </si>
  <si>
    <t>LP001498</t>
  </si>
  <si>
    <t>LP001504</t>
  </si>
  <si>
    <t>LP001507</t>
  </si>
  <si>
    <t>LP001508</t>
  </si>
  <si>
    <t>LP001514</t>
  </si>
  <si>
    <t>LP001516</t>
  </si>
  <si>
    <t>LP001518</t>
  </si>
  <si>
    <t>LP001519</t>
  </si>
  <si>
    <t>LP001520</t>
  </si>
  <si>
    <t>LP001528</t>
  </si>
  <si>
    <t>LP001529</t>
  </si>
  <si>
    <t>LP001531</t>
  </si>
  <si>
    <t>LP001532</t>
  </si>
  <si>
    <t>LP001535</t>
  </si>
  <si>
    <t>LP001536</t>
  </si>
  <si>
    <t>LP001541</t>
  </si>
  <si>
    <t>LP001543</t>
  </si>
  <si>
    <t>LP001546</t>
  </si>
  <si>
    <t>LP001552</t>
  </si>
  <si>
    <t>LP001560</t>
  </si>
  <si>
    <t>LP001562</t>
  </si>
  <si>
    <t>LP001565</t>
  </si>
  <si>
    <t>LP001570</t>
  </si>
  <si>
    <t>LP001572</t>
  </si>
  <si>
    <t>LP001574</t>
  </si>
  <si>
    <t>LP001577</t>
  </si>
  <si>
    <t>LP001578</t>
  </si>
  <si>
    <t>LP001579</t>
  </si>
  <si>
    <t>LP001580</t>
  </si>
  <si>
    <t>LP001581</t>
  </si>
  <si>
    <t>LP001585</t>
  </si>
  <si>
    <t>LP001586</t>
  </si>
  <si>
    <t>LP001594</t>
  </si>
  <si>
    <t>LP001603</t>
  </si>
  <si>
    <t>LP001606</t>
  </si>
  <si>
    <t>LP001608</t>
  </si>
  <si>
    <t>LP001610</t>
  </si>
  <si>
    <t>LP001616</t>
  </si>
  <si>
    <t>LP001630</t>
  </si>
  <si>
    <t>LP001633</t>
  </si>
  <si>
    <t>LP001634</t>
  </si>
  <si>
    <t>LP001636</t>
  </si>
  <si>
    <t>LP001637</t>
  </si>
  <si>
    <t>LP001639</t>
  </si>
  <si>
    <t>LP001640</t>
  </si>
  <si>
    <t>LP001641</t>
  </si>
  <si>
    <t>LP001643</t>
  </si>
  <si>
    <t>LP001644</t>
  </si>
  <si>
    <t>LP001647</t>
  </si>
  <si>
    <t>LP001653</t>
  </si>
  <si>
    <t>LP001656</t>
  </si>
  <si>
    <t>LP001657</t>
  </si>
  <si>
    <t>LP001658</t>
  </si>
  <si>
    <t>LP001664</t>
  </si>
  <si>
    <t>LP001665</t>
  </si>
  <si>
    <t>LP001666</t>
  </si>
  <si>
    <t>LP001669</t>
  </si>
  <si>
    <t>LP001671</t>
  </si>
  <si>
    <t>LP001673</t>
  </si>
  <si>
    <t>LP001674</t>
  </si>
  <si>
    <t>LP001677</t>
  </si>
  <si>
    <t>LP001682</t>
  </si>
  <si>
    <t>LP001688</t>
  </si>
  <si>
    <t>LP001691</t>
  </si>
  <si>
    <t>LP001692</t>
  </si>
  <si>
    <t>LP001693</t>
  </si>
  <si>
    <t>LP001698</t>
  </si>
  <si>
    <t>LP001699</t>
  </si>
  <si>
    <t>LP001702</t>
  </si>
  <si>
    <t>LP001708</t>
  </si>
  <si>
    <t>LP001711</t>
  </si>
  <si>
    <t>LP001713</t>
  </si>
  <si>
    <t>LP001715</t>
  </si>
  <si>
    <t>LP001716</t>
  </si>
  <si>
    <t>LP001720</t>
  </si>
  <si>
    <t>LP001722</t>
  </si>
  <si>
    <t>LP001726</t>
  </si>
  <si>
    <t>LP001732</t>
  </si>
  <si>
    <t>LP001734</t>
  </si>
  <si>
    <t>LP001736</t>
  </si>
  <si>
    <t>LP001743</t>
  </si>
  <si>
    <t>LP001744</t>
  </si>
  <si>
    <t>LP001749</t>
  </si>
  <si>
    <t>LP001750</t>
  </si>
  <si>
    <t>LP001751</t>
  </si>
  <si>
    <t>LP001754</t>
  </si>
  <si>
    <t>LP001758</t>
  </si>
  <si>
    <t>LP001760</t>
  </si>
  <si>
    <t>LP001761</t>
  </si>
  <si>
    <t>LP001765</t>
  </si>
  <si>
    <t>LP001768</t>
  </si>
  <si>
    <t>LP001770</t>
  </si>
  <si>
    <t>LP001776</t>
  </si>
  <si>
    <t>LP001778</t>
  </si>
  <si>
    <t>LP001784</t>
  </si>
  <si>
    <t>LP001786</t>
  </si>
  <si>
    <t>LP001788</t>
  </si>
  <si>
    <t>LP001790</t>
  </si>
  <si>
    <t>LP001792</t>
  </si>
  <si>
    <t>LP001798</t>
  </si>
  <si>
    <t>LP001800</t>
  </si>
  <si>
    <t>LP001806</t>
  </si>
  <si>
    <t>LP001807</t>
  </si>
  <si>
    <t>LP001811</t>
  </si>
  <si>
    <t>LP001813</t>
  </si>
  <si>
    <t>LP001814</t>
  </si>
  <si>
    <t>LP001819</t>
  </si>
  <si>
    <t>LP001824</t>
  </si>
  <si>
    <t>LP001825</t>
  </si>
  <si>
    <t>LP001835</t>
  </si>
  <si>
    <t>LP001836</t>
  </si>
  <si>
    <t>LP001841</t>
  </si>
  <si>
    <t>LP001843</t>
  </si>
  <si>
    <t>LP001844</t>
  </si>
  <si>
    <t>LP001846</t>
  </si>
  <si>
    <t>LP001849</t>
  </si>
  <si>
    <t>LP001854</t>
  </si>
  <si>
    <t>LP001859</t>
  </si>
  <si>
    <t>LP001864</t>
  </si>
  <si>
    <t>LP001865</t>
  </si>
  <si>
    <t>LP001868</t>
  </si>
  <si>
    <t>LP001870</t>
  </si>
  <si>
    <t>LP001871</t>
  </si>
  <si>
    <t>LP001872</t>
  </si>
  <si>
    <t>LP001875</t>
  </si>
  <si>
    <t>LP001877</t>
  </si>
  <si>
    <t>LP001882</t>
  </si>
  <si>
    <t>LP001883</t>
  </si>
  <si>
    <t>LP001884</t>
  </si>
  <si>
    <t>LP001888</t>
  </si>
  <si>
    <t>LP001891</t>
  </si>
  <si>
    <t>LP001892</t>
  </si>
  <si>
    <t>LP001894</t>
  </si>
  <si>
    <t>LP001896</t>
  </si>
  <si>
    <t>LP001900</t>
  </si>
  <si>
    <t>LP001903</t>
  </si>
  <si>
    <t>LP001904</t>
  </si>
  <si>
    <t>LP001907</t>
  </si>
  <si>
    <t>LP001908</t>
  </si>
  <si>
    <t>LP001910</t>
  </si>
  <si>
    <t>LP001914</t>
  </si>
  <si>
    <t>LP001915</t>
  </si>
  <si>
    <t>LP001917</t>
  </si>
  <si>
    <t>LP001922</t>
  </si>
  <si>
    <t>LP001924</t>
  </si>
  <si>
    <t>LP001925</t>
  </si>
  <si>
    <t>LP001926</t>
  </si>
  <si>
    <t>LP001931</t>
  </si>
  <si>
    <t>LP001935</t>
  </si>
  <si>
    <t>LP001936</t>
  </si>
  <si>
    <t>LP001938</t>
  </si>
  <si>
    <t>LP001940</t>
  </si>
  <si>
    <t>LP001945</t>
  </si>
  <si>
    <t>LP001947</t>
  </si>
  <si>
    <t>LP001949</t>
  </si>
  <si>
    <t>LP001953</t>
  </si>
  <si>
    <t>LP001954</t>
  </si>
  <si>
    <t>LP001955</t>
  </si>
  <si>
    <t>LP001963</t>
  </si>
  <si>
    <t>LP001964</t>
  </si>
  <si>
    <t>LP001972</t>
  </si>
  <si>
    <t>LP001974</t>
  </si>
  <si>
    <t>LP001977</t>
  </si>
  <si>
    <t>LP001978</t>
  </si>
  <si>
    <t>LP001990</t>
  </si>
  <si>
    <t>LP001993</t>
  </si>
  <si>
    <t>LP001994</t>
  </si>
  <si>
    <t>LP001996</t>
  </si>
  <si>
    <t>LP001998</t>
  </si>
  <si>
    <t>LP002002</t>
  </si>
  <si>
    <t>LP002004</t>
  </si>
  <si>
    <t>LP002006</t>
  </si>
  <si>
    <t>LP002008</t>
  </si>
  <si>
    <t>LP002024</t>
  </si>
  <si>
    <t>LP002031</t>
  </si>
  <si>
    <t>LP002035</t>
  </si>
  <si>
    <t>LP002036</t>
  </si>
  <si>
    <t>LP002043</t>
  </si>
  <si>
    <t>LP002050</t>
  </si>
  <si>
    <t>LP002051</t>
  </si>
  <si>
    <t>LP002053</t>
  </si>
  <si>
    <t>LP002054</t>
  </si>
  <si>
    <t>LP002055</t>
  </si>
  <si>
    <t>LP002065</t>
  </si>
  <si>
    <t>LP002067</t>
  </si>
  <si>
    <t>LP002068</t>
  </si>
  <si>
    <t>LP002082</t>
  </si>
  <si>
    <t>LP002086</t>
  </si>
  <si>
    <t>LP002087</t>
  </si>
  <si>
    <t>LP002097</t>
  </si>
  <si>
    <t>LP002098</t>
  </si>
  <si>
    <t>LP002100</t>
  </si>
  <si>
    <t>LP002101</t>
  </si>
  <si>
    <t>LP002103</t>
  </si>
  <si>
    <t>LP002106</t>
  </si>
  <si>
    <t>LP002110</t>
  </si>
  <si>
    <t>LP002112</t>
  </si>
  <si>
    <t>LP002113</t>
  </si>
  <si>
    <t>LP002114</t>
  </si>
  <si>
    <t>LP002115</t>
  </si>
  <si>
    <t>LP002116</t>
  </si>
  <si>
    <t>LP002119</t>
  </si>
  <si>
    <t>LP002126</t>
  </si>
  <si>
    <t>LP002128</t>
  </si>
  <si>
    <t>LP002129</t>
  </si>
  <si>
    <t>LP002130</t>
  </si>
  <si>
    <t>LP002131</t>
  </si>
  <si>
    <t>LP002137</t>
  </si>
  <si>
    <t>LP002138</t>
  </si>
  <si>
    <t>LP002139</t>
  </si>
  <si>
    <t>LP002140</t>
  </si>
  <si>
    <t>LP002141</t>
  </si>
  <si>
    <t>LP002142</t>
  </si>
  <si>
    <t>LP002143</t>
  </si>
  <si>
    <t>LP002144</t>
  </si>
  <si>
    <t>LP002149</t>
  </si>
  <si>
    <t>LP002151</t>
  </si>
  <si>
    <t>LP002158</t>
  </si>
  <si>
    <t>LP002160</t>
  </si>
  <si>
    <t>LP002161</t>
  </si>
  <si>
    <t>LP002170</t>
  </si>
  <si>
    <t>LP002175</t>
  </si>
  <si>
    <t>LP002178</t>
  </si>
  <si>
    <t>LP002180</t>
  </si>
  <si>
    <t>LP002181</t>
  </si>
  <si>
    <t>LP002187</t>
  </si>
  <si>
    <t>LP002188</t>
  </si>
  <si>
    <t>LP002190</t>
  </si>
  <si>
    <t>LP002191</t>
  </si>
  <si>
    <t>LP002194</t>
  </si>
  <si>
    <t>LP002197</t>
  </si>
  <si>
    <t>LP002201</t>
  </si>
  <si>
    <t>LP002205</t>
  </si>
  <si>
    <t>LP002209</t>
  </si>
  <si>
    <t>LP002211</t>
  </si>
  <si>
    <t>LP002219</t>
  </si>
  <si>
    <t>LP002223</t>
  </si>
  <si>
    <t>LP002224</t>
  </si>
  <si>
    <t>LP002225</t>
  </si>
  <si>
    <t>LP002226</t>
  </si>
  <si>
    <t>LP002229</t>
  </si>
  <si>
    <t>LP002231</t>
  </si>
  <si>
    <t>LP002234</t>
  </si>
  <si>
    <t>LP002236</t>
  </si>
  <si>
    <t>LP002237</t>
  </si>
  <si>
    <t>LP002239</t>
  </si>
  <si>
    <t>LP002243</t>
  </si>
  <si>
    <t>LP002244</t>
  </si>
  <si>
    <t>LP002250</t>
  </si>
  <si>
    <t>LP002255</t>
  </si>
  <si>
    <t>LP002262</t>
  </si>
  <si>
    <t>LP002263</t>
  </si>
  <si>
    <t>LP002265</t>
  </si>
  <si>
    <t>LP002266</t>
  </si>
  <si>
    <t>LP002272</t>
  </si>
  <si>
    <t>LP002277</t>
  </si>
  <si>
    <t>LP002281</t>
  </si>
  <si>
    <t>LP002284</t>
  </si>
  <si>
    <t>LP002287</t>
  </si>
  <si>
    <t>LP002288</t>
  </si>
  <si>
    <t>LP002296</t>
  </si>
  <si>
    <t>LP002297</t>
  </si>
  <si>
    <t>LP002300</t>
  </si>
  <si>
    <t>LP002301</t>
  </si>
  <si>
    <t>LP002305</t>
  </si>
  <si>
    <t>LP002308</t>
  </si>
  <si>
    <t>LP002314</t>
  </si>
  <si>
    <t>LP002315</t>
  </si>
  <si>
    <t>LP002317</t>
  </si>
  <si>
    <t>LP002318</t>
  </si>
  <si>
    <t>LP002319</t>
  </si>
  <si>
    <t>LP002328</t>
  </si>
  <si>
    <t>LP002332</t>
  </si>
  <si>
    <t>LP002335</t>
  </si>
  <si>
    <t>LP002337</t>
  </si>
  <si>
    <t>LP002341</t>
  </si>
  <si>
    <t>LP002342</t>
  </si>
  <si>
    <t>LP002345</t>
  </si>
  <si>
    <t>LP002347</t>
  </si>
  <si>
    <t>LP002348</t>
  </si>
  <si>
    <t>LP002357</t>
  </si>
  <si>
    <t>LP002361</t>
  </si>
  <si>
    <t>LP002362</t>
  </si>
  <si>
    <t>LP002364</t>
  </si>
  <si>
    <t>LP002366</t>
  </si>
  <si>
    <t>LP002367</t>
  </si>
  <si>
    <t>LP002368</t>
  </si>
  <si>
    <t>LP002369</t>
  </si>
  <si>
    <t>LP002370</t>
  </si>
  <si>
    <t>LP002377</t>
  </si>
  <si>
    <t>LP002379</t>
  </si>
  <si>
    <t>LP002386</t>
  </si>
  <si>
    <t>LP002387</t>
  </si>
  <si>
    <t>LP002390</t>
  </si>
  <si>
    <t>LP002393</t>
  </si>
  <si>
    <t>LP002398</t>
  </si>
  <si>
    <t>LP002401</t>
  </si>
  <si>
    <t>LP002403</t>
  </si>
  <si>
    <t>LP002407</t>
  </si>
  <si>
    <t>LP002408</t>
  </si>
  <si>
    <t>LP002409</t>
  </si>
  <si>
    <t>LP002418</t>
  </si>
  <si>
    <t>LP002422</t>
  </si>
  <si>
    <t>LP002424</t>
  </si>
  <si>
    <t>LP002429</t>
  </si>
  <si>
    <t>LP002434</t>
  </si>
  <si>
    <t>LP002435</t>
  </si>
  <si>
    <t>LP002443</t>
  </si>
  <si>
    <t>LP002444</t>
  </si>
  <si>
    <t>LP002446</t>
  </si>
  <si>
    <t>LP002447</t>
  </si>
  <si>
    <t>LP002448</t>
  </si>
  <si>
    <t>LP002449</t>
  </si>
  <si>
    <t>LP002453</t>
  </si>
  <si>
    <t>LP002455</t>
  </si>
  <si>
    <t>LP002459</t>
  </si>
  <si>
    <t>LP002467</t>
  </si>
  <si>
    <t>LP002472</t>
  </si>
  <si>
    <t>LP002473</t>
  </si>
  <si>
    <t>LP002478</t>
  </si>
  <si>
    <t>LP002484</t>
  </si>
  <si>
    <t>LP002487</t>
  </si>
  <si>
    <t>LP002489</t>
  </si>
  <si>
    <t>LP002493</t>
  </si>
  <si>
    <t>LP002494</t>
  </si>
  <si>
    <t>LP002500</t>
  </si>
  <si>
    <t>LP002501</t>
  </si>
  <si>
    <t>LP002502</t>
  </si>
  <si>
    <t>LP002505</t>
  </si>
  <si>
    <t>LP002515</t>
  </si>
  <si>
    <t>LP002517</t>
  </si>
  <si>
    <t>LP002519</t>
  </si>
  <si>
    <t>LP002522</t>
  </si>
  <si>
    <t>LP002524</t>
  </si>
  <si>
    <t>LP002527</t>
  </si>
  <si>
    <t>LP002529</t>
  </si>
  <si>
    <t>LP002530</t>
  </si>
  <si>
    <t>LP002531</t>
  </si>
  <si>
    <t>LP002533</t>
  </si>
  <si>
    <t>LP002534</t>
  </si>
  <si>
    <t>LP002536</t>
  </si>
  <si>
    <t>LP002537</t>
  </si>
  <si>
    <t>LP002541</t>
  </si>
  <si>
    <t>LP002543</t>
  </si>
  <si>
    <t>LP002544</t>
  </si>
  <si>
    <t>LP002545</t>
  </si>
  <si>
    <t>LP002547</t>
  </si>
  <si>
    <t>LP002555</t>
  </si>
  <si>
    <t>LP002556</t>
  </si>
  <si>
    <t>LP002560</t>
  </si>
  <si>
    <t>LP002562</t>
  </si>
  <si>
    <t>LP002571</t>
  </si>
  <si>
    <t>LP002582</t>
  </si>
  <si>
    <t>LP002585</t>
  </si>
  <si>
    <t>LP002586</t>
  </si>
  <si>
    <t>LP002587</t>
  </si>
  <si>
    <t>LP002588</t>
  </si>
  <si>
    <t>LP002600</t>
  </si>
  <si>
    <t>LP002602</t>
  </si>
  <si>
    <t>LP002603</t>
  </si>
  <si>
    <t>LP002606</t>
  </si>
  <si>
    <t>LP002615</t>
  </si>
  <si>
    <t>LP002618</t>
  </si>
  <si>
    <t>LP002619</t>
  </si>
  <si>
    <t>LP002622</t>
  </si>
  <si>
    <t>LP002624</t>
  </si>
  <si>
    <t>LP002625</t>
  </si>
  <si>
    <t>LP002626</t>
  </si>
  <si>
    <t>LP002634</t>
  </si>
  <si>
    <t>LP002637</t>
  </si>
  <si>
    <t>LP002640</t>
  </si>
  <si>
    <t>LP002643</t>
  </si>
  <si>
    <t>LP002648</t>
  </si>
  <si>
    <t>LP002652</t>
  </si>
  <si>
    <t>LP002659</t>
  </si>
  <si>
    <t>LP002670</t>
  </si>
  <si>
    <t>LP002682</t>
  </si>
  <si>
    <t>LP002683</t>
  </si>
  <si>
    <t>LP002684</t>
  </si>
  <si>
    <t>LP002689</t>
  </si>
  <si>
    <t>LP002690</t>
  </si>
  <si>
    <t>LP002692</t>
  </si>
  <si>
    <t>LP002693</t>
  </si>
  <si>
    <t>LP002697</t>
  </si>
  <si>
    <t>LP002699</t>
  </si>
  <si>
    <t>LP002705</t>
  </si>
  <si>
    <t>LP002706</t>
  </si>
  <si>
    <t>LP002714</t>
  </si>
  <si>
    <t>LP002716</t>
  </si>
  <si>
    <t>LP002717</t>
  </si>
  <si>
    <t>LP002720</t>
  </si>
  <si>
    <t>LP002723</t>
  </si>
  <si>
    <t>LP002729</t>
  </si>
  <si>
    <t>LP002731</t>
  </si>
  <si>
    <t>LP002732</t>
  </si>
  <si>
    <t>LP002734</t>
  </si>
  <si>
    <t>LP002738</t>
  </si>
  <si>
    <t>LP002739</t>
  </si>
  <si>
    <t>LP002740</t>
  </si>
  <si>
    <t>LP002741</t>
  </si>
  <si>
    <t>LP002743</t>
  </si>
  <si>
    <t>LP002753</t>
  </si>
  <si>
    <t>LP002755</t>
  </si>
  <si>
    <t>LP002757</t>
  </si>
  <si>
    <t>LP002767</t>
  </si>
  <si>
    <t>LP002768</t>
  </si>
  <si>
    <t>LP002772</t>
  </si>
  <si>
    <t>LP002776</t>
  </si>
  <si>
    <t>LP002777</t>
  </si>
  <si>
    <t>LP002778</t>
  </si>
  <si>
    <t>LP002784</t>
  </si>
  <si>
    <t>LP002785</t>
  </si>
  <si>
    <t>LP002788</t>
  </si>
  <si>
    <t>LP002789</t>
  </si>
  <si>
    <t>LP002792</t>
  </si>
  <si>
    <t>LP002794</t>
  </si>
  <si>
    <t>LP002795</t>
  </si>
  <si>
    <t>LP002798</t>
  </si>
  <si>
    <t>LP002804</t>
  </si>
  <si>
    <t>LP002807</t>
  </si>
  <si>
    <t>LP002813</t>
  </si>
  <si>
    <t>LP002820</t>
  </si>
  <si>
    <t>LP002821</t>
  </si>
  <si>
    <t>LP002832</t>
  </si>
  <si>
    <t>LP002833</t>
  </si>
  <si>
    <t>LP002836</t>
  </si>
  <si>
    <t>LP002837</t>
  </si>
  <si>
    <t>LP002840</t>
  </si>
  <si>
    <t>LP002841</t>
  </si>
  <si>
    <t>LP002842</t>
  </si>
  <si>
    <t>LP002847</t>
  </si>
  <si>
    <t>LP002855</t>
  </si>
  <si>
    <t>LP002862</t>
  </si>
  <si>
    <t>LP002863</t>
  </si>
  <si>
    <t>LP002868</t>
  </si>
  <si>
    <t>LP002872</t>
  </si>
  <si>
    <t>LP002874</t>
  </si>
  <si>
    <t>LP002877</t>
  </si>
  <si>
    <t>LP002888</t>
  </si>
  <si>
    <t>LP002892</t>
  </si>
  <si>
    <t>LP002893</t>
  </si>
  <si>
    <t>LP002894</t>
  </si>
  <si>
    <t>LP002898</t>
  </si>
  <si>
    <t>LP002911</t>
  </si>
  <si>
    <t>LP002912</t>
  </si>
  <si>
    <t>LP002916</t>
  </si>
  <si>
    <t>LP002917</t>
  </si>
  <si>
    <t>LP002925</t>
  </si>
  <si>
    <t>LP002926</t>
  </si>
  <si>
    <t>LP002928</t>
  </si>
  <si>
    <t>LP002931</t>
  </si>
  <si>
    <t>LP002933</t>
  </si>
  <si>
    <t>LP002936</t>
  </si>
  <si>
    <t>LP002938</t>
  </si>
  <si>
    <t>LP002940</t>
  </si>
  <si>
    <t>LP002941</t>
  </si>
  <si>
    <t>LP002943</t>
  </si>
  <si>
    <t>LP002945</t>
  </si>
  <si>
    <t>LP002948</t>
  </si>
  <si>
    <t>LP002949</t>
  </si>
  <si>
    <t>LP002950</t>
  </si>
  <si>
    <t>LP002953</t>
  </si>
  <si>
    <t>LP002958</t>
  </si>
  <si>
    <t>LP002959</t>
  </si>
  <si>
    <t>LP002960</t>
  </si>
  <si>
    <t>LP002961</t>
  </si>
  <si>
    <t>LP002964</t>
  </si>
  <si>
    <t>LP002974</t>
  </si>
  <si>
    <t>LP002978</t>
  </si>
  <si>
    <t>LP002979</t>
  </si>
  <si>
    <t>LP002983</t>
  </si>
  <si>
    <t>LP002984</t>
  </si>
  <si>
    <t>LP002990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</si>
</sst>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44" fontId="0" fillId="0" borderId="0" xfId="0" applyNumberFormat="1"/>
    <xf numFmtId="14" fontId="0" fillId="0" borderId="0" xfId="0" applyNumberFormat="1"/>
  </cellXfs>
  <cellStyles count="1">
    <cellStyle name="Normal" xfId="0" builtinId="0"/>
  </cellStyles>
  <dxfs count="11">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Medium9">
    <tableStyle name="Flattened Pivot Style" table="0" count="3" xr9:uid="{00000000-0011-0000-FFFF-FFFF00000000}">
      <tableStyleElement type="headerRow" dxfId="10"/>
      <tableStyleElement type="totalRow" dxfId="9"/>
      <tableStyleElement type="secondRowStripe" dxfId="8"/>
    </tableStyle>
  </tableStyles>
  <colors>
    <mruColors>
      <color rgb="FFCF07B7"/>
      <color rgb="FF5000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9.xml"/><Relationship Id="rId21" Type="http://schemas.openxmlformats.org/officeDocument/2006/relationships/customXml" Target="../customXml/item4.xml"/><Relationship Id="rId42" Type="http://schemas.openxmlformats.org/officeDocument/2006/relationships/customXml" Target="../customXml/item25.xml"/><Relationship Id="rId47" Type="http://schemas.openxmlformats.org/officeDocument/2006/relationships/customXml" Target="../customXml/item30.xml"/><Relationship Id="rId63" Type="http://schemas.openxmlformats.org/officeDocument/2006/relationships/customXml" Target="../customXml/item46.xml"/><Relationship Id="rId68" Type="http://schemas.openxmlformats.org/officeDocument/2006/relationships/customXml" Target="../customXml/item51.xml"/><Relationship Id="rId84" Type="http://schemas.openxmlformats.org/officeDocument/2006/relationships/customXml" Target="../customXml/item67.xml"/><Relationship Id="rId89" Type="http://schemas.openxmlformats.org/officeDocument/2006/relationships/customXml" Target="../customXml/item72.xml"/><Relationship Id="rId16" Type="http://schemas.openxmlformats.org/officeDocument/2006/relationships/powerPivotData" Target="model/item.data"/><Relationship Id="rId11" Type="http://schemas.openxmlformats.org/officeDocument/2006/relationships/pivotTable" Target="pivotTables/pivotTable1.xml"/><Relationship Id="rId32" Type="http://schemas.openxmlformats.org/officeDocument/2006/relationships/customXml" Target="../customXml/item15.xml"/><Relationship Id="rId37" Type="http://schemas.openxmlformats.org/officeDocument/2006/relationships/customXml" Target="../customXml/item20.xml"/><Relationship Id="rId53" Type="http://schemas.openxmlformats.org/officeDocument/2006/relationships/customXml" Target="../customXml/item36.xml"/><Relationship Id="rId58" Type="http://schemas.openxmlformats.org/officeDocument/2006/relationships/customXml" Target="../customXml/item41.xml"/><Relationship Id="rId74" Type="http://schemas.openxmlformats.org/officeDocument/2006/relationships/customXml" Target="../customXml/item57.xml"/><Relationship Id="rId79" Type="http://schemas.openxmlformats.org/officeDocument/2006/relationships/customXml" Target="../customXml/item62.xml"/><Relationship Id="rId5" Type="http://schemas.openxmlformats.org/officeDocument/2006/relationships/pivotCacheDefinition" Target="pivotCache/pivotCacheDefinition3.xml"/><Relationship Id="rId90" Type="http://schemas.openxmlformats.org/officeDocument/2006/relationships/customXml" Target="../customXml/item73.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48" Type="http://schemas.openxmlformats.org/officeDocument/2006/relationships/customXml" Target="../customXml/item31.xml"/><Relationship Id="rId56" Type="http://schemas.openxmlformats.org/officeDocument/2006/relationships/customXml" Target="../customXml/item39.xml"/><Relationship Id="rId64" Type="http://schemas.openxmlformats.org/officeDocument/2006/relationships/customXml" Target="../customXml/item47.xml"/><Relationship Id="rId69" Type="http://schemas.openxmlformats.org/officeDocument/2006/relationships/customXml" Target="../customXml/item52.xml"/><Relationship Id="rId77" Type="http://schemas.openxmlformats.org/officeDocument/2006/relationships/customXml" Target="../customXml/item60.xml"/><Relationship Id="rId8" Type="http://schemas.microsoft.com/office/2007/relationships/slicerCache" Target="slicerCaches/slicerCache3.xml"/><Relationship Id="rId51" Type="http://schemas.openxmlformats.org/officeDocument/2006/relationships/customXml" Target="../customXml/item34.xml"/><Relationship Id="rId72" Type="http://schemas.openxmlformats.org/officeDocument/2006/relationships/customXml" Target="../customXml/item55.xml"/><Relationship Id="rId80" Type="http://schemas.openxmlformats.org/officeDocument/2006/relationships/customXml" Target="../customXml/item63.xml"/><Relationship Id="rId85" Type="http://schemas.openxmlformats.org/officeDocument/2006/relationships/customXml" Target="../customXml/item68.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59" Type="http://schemas.openxmlformats.org/officeDocument/2006/relationships/customXml" Target="../customXml/item42.xml"/><Relationship Id="rId67" Type="http://schemas.openxmlformats.org/officeDocument/2006/relationships/customXml" Target="../customXml/item50.xml"/><Relationship Id="rId20" Type="http://schemas.openxmlformats.org/officeDocument/2006/relationships/customXml" Target="../customXml/item3.xml"/><Relationship Id="rId41" Type="http://schemas.openxmlformats.org/officeDocument/2006/relationships/customXml" Target="../customXml/item24.xml"/><Relationship Id="rId54" Type="http://schemas.openxmlformats.org/officeDocument/2006/relationships/customXml" Target="../customXml/item37.xml"/><Relationship Id="rId62" Type="http://schemas.openxmlformats.org/officeDocument/2006/relationships/customXml" Target="../customXml/item45.xml"/><Relationship Id="rId70" Type="http://schemas.openxmlformats.org/officeDocument/2006/relationships/customXml" Target="../customXml/item53.xml"/><Relationship Id="rId75" Type="http://schemas.openxmlformats.org/officeDocument/2006/relationships/customXml" Target="../customXml/item58.xml"/><Relationship Id="rId83" Type="http://schemas.openxmlformats.org/officeDocument/2006/relationships/customXml" Target="../customXml/item66.xml"/><Relationship Id="rId88" Type="http://schemas.openxmlformats.org/officeDocument/2006/relationships/customXml" Target="../customXml/item71.xml"/><Relationship Id="rId91" Type="http://schemas.openxmlformats.org/officeDocument/2006/relationships/customXml" Target="../customXml/item74.xml"/><Relationship Id="rId1" Type="http://schemas.openxmlformats.org/officeDocument/2006/relationships/worksheet" Target="worksheets/sheet1.xml"/><Relationship Id="rId6" Type="http://schemas.microsoft.com/office/2007/relationships/slicerCache" Target="slicerCaches/slicerCache1.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49" Type="http://schemas.openxmlformats.org/officeDocument/2006/relationships/customXml" Target="../customXml/item32.xml"/><Relationship Id="rId57" Type="http://schemas.openxmlformats.org/officeDocument/2006/relationships/customXml" Target="../customXml/item40.xml"/><Relationship Id="rId10" Type="http://schemas.openxmlformats.org/officeDocument/2006/relationships/pivotCacheDefinition" Target="pivotCache/pivotCacheDefinition4.xml"/><Relationship Id="rId31" Type="http://schemas.openxmlformats.org/officeDocument/2006/relationships/customXml" Target="../customXml/item14.xml"/><Relationship Id="rId44" Type="http://schemas.openxmlformats.org/officeDocument/2006/relationships/customXml" Target="../customXml/item27.xml"/><Relationship Id="rId52" Type="http://schemas.openxmlformats.org/officeDocument/2006/relationships/customXml" Target="../customXml/item35.xml"/><Relationship Id="rId60" Type="http://schemas.openxmlformats.org/officeDocument/2006/relationships/customXml" Target="../customXml/item43.xml"/><Relationship Id="rId65" Type="http://schemas.openxmlformats.org/officeDocument/2006/relationships/customXml" Target="../customXml/item48.xml"/><Relationship Id="rId73" Type="http://schemas.openxmlformats.org/officeDocument/2006/relationships/customXml" Target="../customXml/item56.xml"/><Relationship Id="rId78" Type="http://schemas.openxmlformats.org/officeDocument/2006/relationships/customXml" Target="../customXml/item61.xml"/><Relationship Id="rId81" Type="http://schemas.openxmlformats.org/officeDocument/2006/relationships/customXml" Target="../customXml/item64.xml"/><Relationship Id="rId86" Type="http://schemas.openxmlformats.org/officeDocument/2006/relationships/customXml" Target="../customXml/item69.xml"/><Relationship Id="rId4" Type="http://schemas.openxmlformats.org/officeDocument/2006/relationships/pivotCacheDefinition" Target="pivotCache/pivotCacheDefinition2.xml"/><Relationship Id="rId9" Type="http://schemas.microsoft.com/office/2007/relationships/slicerCache" Target="slicerCaches/slicerCache4.xml"/><Relationship Id="rId13" Type="http://schemas.openxmlformats.org/officeDocument/2006/relationships/connections" Target="connections.xml"/><Relationship Id="rId18" Type="http://schemas.openxmlformats.org/officeDocument/2006/relationships/customXml" Target="../customXml/item1.xml"/><Relationship Id="rId39" Type="http://schemas.openxmlformats.org/officeDocument/2006/relationships/customXml" Target="../customXml/item22.xml"/><Relationship Id="rId34" Type="http://schemas.openxmlformats.org/officeDocument/2006/relationships/customXml" Target="../customXml/item17.xml"/><Relationship Id="rId50" Type="http://schemas.openxmlformats.org/officeDocument/2006/relationships/customXml" Target="../customXml/item33.xml"/><Relationship Id="rId55" Type="http://schemas.openxmlformats.org/officeDocument/2006/relationships/customXml" Target="../customXml/item38.xml"/><Relationship Id="rId76" Type="http://schemas.openxmlformats.org/officeDocument/2006/relationships/customXml" Target="../customXml/item59.xml"/><Relationship Id="rId7" Type="http://schemas.microsoft.com/office/2007/relationships/slicerCache" Target="slicerCaches/slicerCache2.xml"/><Relationship Id="rId71" Type="http://schemas.openxmlformats.org/officeDocument/2006/relationships/customXml" Target="../customXml/item54.xml"/><Relationship Id="rId2" Type="http://schemas.openxmlformats.org/officeDocument/2006/relationships/worksheet" Target="worksheets/sheet2.xml"/><Relationship Id="rId29" Type="http://schemas.openxmlformats.org/officeDocument/2006/relationships/customXml" Target="../customXml/item12.xml"/><Relationship Id="rId24" Type="http://schemas.openxmlformats.org/officeDocument/2006/relationships/customXml" Target="../customXml/item7.xml"/><Relationship Id="rId40" Type="http://schemas.openxmlformats.org/officeDocument/2006/relationships/customXml" Target="../customXml/item23.xml"/><Relationship Id="rId45" Type="http://schemas.openxmlformats.org/officeDocument/2006/relationships/customXml" Target="../customXml/item28.xml"/><Relationship Id="rId66" Type="http://schemas.openxmlformats.org/officeDocument/2006/relationships/customXml" Target="../customXml/item49.xml"/><Relationship Id="rId87" Type="http://schemas.openxmlformats.org/officeDocument/2006/relationships/customXml" Target="../customXml/item70.xml"/><Relationship Id="rId61" Type="http://schemas.openxmlformats.org/officeDocument/2006/relationships/customXml" Target="../customXml/item44.xml"/><Relationship Id="rId82" Type="http://schemas.openxmlformats.org/officeDocument/2006/relationships/customXml" Target="../customXml/item65.xml"/><Relationship Id="rId1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[ExcelPW.xlsx]HELPER!PivotTable3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HELPER!$B$3:$B$4</c:f>
              <c:strCache>
                <c:ptCount val="1"/>
                <c:pt idx="0">
                  <c:v>Rural</c:v>
                </c:pt>
              </c:strCache>
            </c:strRef>
          </c:tx>
          <c:spPr>
            <a:solidFill>
              <a:schemeClr val="accent1"/>
            </a:solidFill>
            <a:ln>
              <a:noFill/>
            </a:ln>
            <a:effectLst/>
            <a:sp3d/>
          </c:spPr>
          <c:invertIfNegative val="0"/>
          <c:cat>
            <c:multiLvlStrRef>
              <c:f>HELPER!$A$5:$A$15</c:f>
              <c:multiLvlStrCache>
                <c:ptCount val="6"/>
                <c:lvl>
                  <c:pt idx="1">
                    <c:v>No</c:v>
                  </c:pt>
                  <c:pt idx="2">
                    <c:v>Yes</c:v>
                  </c:pt>
                  <c:pt idx="4">
                    <c:v>No</c:v>
                  </c:pt>
                  <c:pt idx="5">
                    <c:v>Yes</c:v>
                  </c:pt>
                </c:lvl>
                <c:lvl>
                  <c:pt idx="0">
                    <c:v>Female</c:v>
                  </c:pt>
                  <c:pt idx="3">
                    <c:v>Female</c:v>
                  </c:pt>
                </c:lvl>
                <c:lvl>
                  <c:pt idx="0">
                    <c:v>Graduate</c:v>
                  </c:pt>
                  <c:pt idx="3">
                    <c:v>Not Graduate</c:v>
                  </c:pt>
                </c:lvl>
              </c:multiLvlStrCache>
            </c:multiLvlStrRef>
          </c:cat>
          <c:val>
            <c:numRef>
              <c:f>HELPER!$B$5:$B$15</c:f>
              <c:numCache>
                <c:formatCode>_("$"* #,##0.00_);_("$"* \(#,##0.00\);_("$"* "-"??_);_(@_)</c:formatCode>
                <c:ptCount val="6"/>
                <c:pt idx="0">
                  <c:v>135</c:v>
                </c:pt>
                <c:pt idx="1">
                  <c:v>3837</c:v>
                </c:pt>
                <c:pt idx="2">
                  <c:v>299</c:v>
                </c:pt>
                <c:pt idx="4">
                  <c:v>520</c:v>
                </c:pt>
                <c:pt idx="5">
                  <c:v>138</c:v>
                </c:pt>
              </c:numCache>
            </c:numRef>
          </c:val>
          <c:extLst>
            <c:ext xmlns:c16="http://schemas.microsoft.com/office/drawing/2014/chart" uri="{C3380CC4-5D6E-409C-BE32-E72D297353CC}">
              <c16:uniqueId val="{00000000-875B-4DB8-B4D0-E9110D83C5E4}"/>
            </c:ext>
          </c:extLst>
        </c:ser>
        <c:ser>
          <c:idx val="1"/>
          <c:order val="1"/>
          <c:tx>
            <c:strRef>
              <c:f>HELPER!$C$3:$C$4</c:f>
              <c:strCache>
                <c:ptCount val="1"/>
                <c:pt idx="0">
                  <c:v>Semiurban</c:v>
                </c:pt>
              </c:strCache>
            </c:strRef>
          </c:tx>
          <c:spPr>
            <a:solidFill>
              <a:schemeClr val="accent2"/>
            </a:solidFill>
            <a:ln>
              <a:noFill/>
            </a:ln>
            <a:effectLst/>
            <a:sp3d/>
          </c:spPr>
          <c:invertIfNegative val="0"/>
          <c:cat>
            <c:multiLvlStrRef>
              <c:f>HELPER!$A$5:$A$15</c:f>
              <c:multiLvlStrCache>
                <c:ptCount val="6"/>
                <c:lvl>
                  <c:pt idx="1">
                    <c:v>No</c:v>
                  </c:pt>
                  <c:pt idx="2">
                    <c:v>Yes</c:v>
                  </c:pt>
                  <c:pt idx="4">
                    <c:v>No</c:v>
                  </c:pt>
                  <c:pt idx="5">
                    <c:v>Yes</c:v>
                  </c:pt>
                </c:lvl>
                <c:lvl>
                  <c:pt idx="0">
                    <c:v>Female</c:v>
                  </c:pt>
                  <c:pt idx="3">
                    <c:v>Female</c:v>
                  </c:pt>
                </c:lvl>
                <c:lvl>
                  <c:pt idx="0">
                    <c:v>Graduate</c:v>
                  </c:pt>
                  <c:pt idx="3">
                    <c:v>Not Graduate</c:v>
                  </c:pt>
                </c:lvl>
              </c:multiLvlStrCache>
            </c:multiLvlStrRef>
          </c:cat>
          <c:val>
            <c:numRef>
              <c:f>HELPER!$C$5:$C$15</c:f>
              <c:numCache>
                <c:formatCode>_("$"* #,##0.00_);_("$"* \(#,##0.00\);_("$"* "-"??_);_(@_)</c:formatCode>
                <c:ptCount val="6"/>
                <c:pt idx="0">
                  <c:v>354</c:v>
                </c:pt>
                <c:pt idx="1">
                  <c:v>206203</c:v>
                </c:pt>
                <c:pt idx="2">
                  <c:v>1037</c:v>
                </c:pt>
                <c:pt idx="3">
                  <c:v>230</c:v>
                </c:pt>
                <c:pt idx="4">
                  <c:v>623</c:v>
                </c:pt>
                <c:pt idx="5">
                  <c:v>287</c:v>
                </c:pt>
              </c:numCache>
            </c:numRef>
          </c:val>
          <c:extLst>
            <c:ext xmlns:c16="http://schemas.microsoft.com/office/drawing/2014/chart" uri="{C3380CC4-5D6E-409C-BE32-E72D297353CC}">
              <c16:uniqueId val="{00000002-FE88-4A4E-B41F-16AEE1167516}"/>
            </c:ext>
          </c:extLst>
        </c:ser>
        <c:ser>
          <c:idx val="2"/>
          <c:order val="2"/>
          <c:tx>
            <c:strRef>
              <c:f>HELPER!$D$3:$D$4</c:f>
              <c:strCache>
                <c:ptCount val="1"/>
                <c:pt idx="0">
                  <c:v>Urban</c:v>
                </c:pt>
              </c:strCache>
            </c:strRef>
          </c:tx>
          <c:spPr>
            <a:solidFill>
              <a:schemeClr val="accent3"/>
            </a:solidFill>
            <a:ln>
              <a:noFill/>
            </a:ln>
            <a:effectLst/>
            <a:sp3d/>
          </c:spPr>
          <c:invertIfNegative val="0"/>
          <c:cat>
            <c:multiLvlStrRef>
              <c:f>HELPER!$A$5:$A$15</c:f>
              <c:multiLvlStrCache>
                <c:ptCount val="6"/>
                <c:lvl>
                  <c:pt idx="1">
                    <c:v>No</c:v>
                  </c:pt>
                  <c:pt idx="2">
                    <c:v>Yes</c:v>
                  </c:pt>
                  <c:pt idx="4">
                    <c:v>No</c:v>
                  </c:pt>
                  <c:pt idx="5">
                    <c:v>Yes</c:v>
                  </c:pt>
                </c:lvl>
                <c:lvl>
                  <c:pt idx="0">
                    <c:v>Female</c:v>
                  </c:pt>
                  <c:pt idx="3">
                    <c:v>Female</c:v>
                  </c:pt>
                </c:lvl>
                <c:lvl>
                  <c:pt idx="0">
                    <c:v>Graduate</c:v>
                  </c:pt>
                  <c:pt idx="3">
                    <c:v>Not Graduate</c:v>
                  </c:pt>
                </c:lvl>
              </c:multiLvlStrCache>
            </c:multiLvlStrRef>
          </c:cat>
          <c:val>
            <c:numRef>
              <c:f>HELPER!$D$5:$D$15</c:f>
              <c:numCache>
                <c:formatCode>_("$"* #,##0.00_);_("$"* \(#,##0.00\);_("$"* "-"??_);_(@_)</c:formatCode>
                <c:ptCount val="6"/>
                <c:pt idx="0">
                  <c:v>460</c:v>
                </c:pt>
                <c:pt idx="1">
                  <c:v>13317</c:v>
                </c:pt>
                <c:pt idx="2">
                  <c:v>3075</c:v>
                </c:pt>
                <c:pt idx="4">
                  <c:v>200</c:v>
                </c:pt>
                <c:pt idx="5">
                  <c:v>125</c:v>
                </c:pt>
              </c:numCache>
            </c:numRef>
          </c:val>
          <c:extLst>
            <c:ext xmlns:c16="http://schemas.microsoft.com/office/drawing/2014/chart" uri="{C3380CC4-5D6E-409C-BE32-E72D297353CC}">
              <c16:uniqueId val="{00000003-FE88-4A4E-B41F-16AEE1167516}"/>
            </c:ext>
          </c:extLst>
        </c:ser>
        <c:dLbls>
          <c:showLegendKey val="0"/>
          <c:showVal val="0"/>
          <c:showCatName val="0"/>
          <c:showSerName val="0"/>
          <c:showPercent val="0"/>
          <c:showBubbleSize val="0"/>
        </c:dLbls>
        <c:gapWidth val="150"/>
        <c:shape val="box"/>
        <c:axId val="1401978271"/>
        <c:axId val="1401981599"/>
        <c:axId val="0"/>
      </c:bar3DChart>
      <c:catAx>
        <c:axId val="1401978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981599"/>
        <c:crosses val="autoZero"/>
        <c:auto val="1"/>
        <c:lblAlgn val="ctr"/>
        <c:lblOffset val="100"/>
        <c:noMultiLvlLbl val="0"/>
      </c:catAx>
      <c:valAx>
        <c:axId val="14019815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9782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Loan Amout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2019.5328836424958</c:v>
              </c:pt>
              <c:pt idx="1">
                <c:v>2019.5328836424958</c:v>
              </c:pt>
            </c:numLit>
          </c:val>
          <c:extLst>
            <c:ext xmlns:c16="http://schemas.microsoft.com/office/drawing/2014/chart" uri="{C3380CC4-5D6E-409C-BE32-E72D297353CC}">
              <c16:uniqueId val="{00000001-0E53-4699-904E-C3CAA9979C7B}"/>
            </c:ext>
          </c:extLst>
        </c:ser>
        <c:dLbls>
          <c:dLblPos val="outEnd"/>
          <c:showLegendKey val="0"/>
          <c:showVal val="1"/>
          <c:showCatName val="0"/>
          <c:showSerName val="0"/>
          <c:showPercent val="0"/>
          <c:showBubbleSize val="0"/>
        </c:dLbls>
        <c:gapWidth val="219"/>
        <c:overlap val="-27"/>
        <c:axId val="232251327"/>
        <c:axId val="232241759"/>
      </c:barChart>
      <c:catAx>
        <c:axId val="23225132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241759"/>
        <c:crosses val="autoZero"/>
        <c:auto val="1"/>
        <c:lblAlgn val="ctr"/>
        <c:lblOffset val="100"/>
        <c:noMultiLvlLbl val="0"/>
        <c:extLst>
          <c:ext xmlns:c15="http://schemas.microsoft.com/office/drawing/2012/chart" uri="{F40574EE-89B7-4290-83BB-5DA773EAF853}">
            <c15:numFmt c:formatCode="General" c:sourceLinked="1"/>
          </c:ext>
        </c:extLst>
      </c:catAx>
      <c:valAx>
        <c:axId val="23224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251327"/>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[ExcelPW.xlsx]PivotChartTable1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109837</xdr:colOff>
      <xdr:row>0</xdr:row>
      <xdr:rowOff>153537</xdr:rowOff>
    </xdr:from>
    <xdr:to>
      <xdr:col>10</xdr:col>
      <xdr:colOff>235125</xdr:colOff>
      <xdr:row>15</xdr:row>
      <xdr:rowOff>153538</xdr:rowOff>
    </xdr:to>
    <xdr:graphicFrame macro="">
      <xdr:nvGraphicFramePr>
        <xdr:cNvPr id="2" name="Chart 1">
          <a:extLst>
            <a:ext uri="{FF2B5EF4-FFF2-40B4-BE49-F238E27FC236}">
              <a16:creationId xmlns:a16="http://schemas.microsoft.com/office/drawing/2014/main" id="{059D85AA-33C4-426D-9CFB-07CC03DA5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1347921</xdr:colOff>
      <xdr:row>2</xdr:row>
      <xdr:rowOff>92926</xdr:rowOff>
    </xdr:from>
    <xdr:to>
      <xdr:col>16</xdr:col>
      <xdr:colOff>84157</xdr:colOff>
      <xdr:row>7</xdr:row>
      <xdr:rowOff>115786</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73E44B49-20B3-4A8F-875E-5D3BCAFDFB0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7680789" y="453873"/>
              <a:ext cx="1814315" cy="925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233571</xdr:colOff>
      <xdr:row>46</xdr:row>
      <xdr:rowOff>80949</xdr:rowOff>
    </xdr:from>
    <xdr:to>
      <xdr:col>10</xdr:col>
      <xdr:colOff>1235069</xdr:colOff>
      <xdr:row>60</xdr:row>
      <xdr:rowOff>136167</xdr:rowOff>
    </xdr:to>
    <xdr:graphicFrame macro="">
      <xdr:nvGraphicFramePr>
        <xdr:cNvPr id="8" name="Chart 7">
          <a:extLst>
            <a:ext uri="{FF2B5EF4-FFF2-40B4-BE49-F238E27FC236}">
              <a16:creationId xmlns:a16="http://schemas.microsoft.com/office/drawing/2014/main" id="{A345108B-2696-4DEC-84BF-927382A98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608576</xdr:colOff>
      <xdr:row>2</xdr:row>
      <xdr:rowOff>4398</xdr:rowOff>
    </xdr:from>
    <xdr:to>
      <xdr:col>14</xdr:col>
      <xdr:colOff>1076647</xdr:colOff>
      <xdr:row>9</xdr:row>
      <xdr:rowOff>7140</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7B286E73-E60D-441D-9E70-87826424C3C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557813" y="365345"/>
              <a:ext cx="1851702" cy="1266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74824</xdr:colOff>
      <xdr:row>1</xdr:row>
      <xdr:rowOff>183821</xdr:rowOff>
    </xdr:from>
    <xdr:to>
      <xdr:col>13</xdr:col>
      <xdr:colOff>450016</xdr:colOff>
      <xdr:row>8</xdr:row>
      <xdr:rowOff>168580</xdr:rowOff>
    </xdr:to>
    <mc:AlternateContent xmlns:mc="http://schemas.openxmlformats.org/markup-compatibility/2006" xmlns:a14="http://schemas.microsoft.com/office/drawing/2010/main">
      <mc:Choice Requires="a14">
        <xdr:graphicFrame macro="">
          <xdr:nvGraphicFramePr>
            <xdr:cNvPr id="10" name="Self_Employed 1">
              <a:extLst>
                <a:ext uri="{FF2B5EF4-FFF2-40B4-BE49-F238E27FC236}">
                  <a16:creationId xmlns:a16="http://schemas.microsoft.com/office/drawing/2014/main" id="{F8996FF1-457B-42CA-9CF8-64BF8B51564D}"/>
                </a:ext>
              </a:extLst>
            </xdr:cNvPr>
            <xdr:cNvGraphicFramePr/>
          </xdr:nvGraphicFramePr>
          <xdr:xfrm>
            <a:off x="0" y="0"/>
            <a:ext cx="0" cy="0"/>
          </xdr:xfrm>
          <a:graphic>
            <a:graphicData uri="http://schemas.microsoft.com/office/drawing/2010/slicer">
              <sle:slicer xmlns:sle="http://schemas.microsoft.com/office/drawing/2010/slicer" name="Self_Employed 1"/>
            </a:graphicData>
          </a:graphic>
        </xdr:graphicFrame>
      </mc:Choice>
      <mc:Fallback xmlns="">
        <xdr:sp macro="" textlink="">
          <xdr:nvSpPr>
            <xdr:cNvPr id="0" name=""/>
            <xdr:cNvSpPr>
              <a:spLocks noTextEdit="1"/>
            </xdr:cNvSpPr>
          </xdr:nvSpPr>
          <xdr:spPr>
            <a:xfrm>
              <a:off x="13570245" y="364295"/>
              <a:ext cx="1829008" cy="1248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411526</xdr:colOff>
      <xdr:row>1</xdr:row>
      <xdr:rowOff>172215</xdr:rowOff>
    </xdr:from>
    <xdr:to>
      <xdr:col>11</xdr:col>
      <xdr:colOff>671759</xdr:colOff>
      <xdr:row>8</xdr:row>
      <xdr:rowOff>144507</xdr:rowOff>
    </xdr:to>
    <mc:AlternateContent xmlns:mc="http://schemas.openxmlformats.org/markup-compatibility/2006" xmlns:a14="http://schemas.microsoft.com/office/drawing/2010/main">
      <mc:Choice Requires="a14">
        <xdr:graphicFrame macro="">
          <xdr:nvGraphicFramePr>
            <xdr:cNvPr id="11" name="Property_Area 1">
              <a:extLst>
                <a:ext uri="{FF2B5EF4-FFF2-40B4-BE49-F238E27FC236}">
                  <a16:creationId xmlns:a16="http://schemas.microsoft.com/office/drawing/2014/main" id="{150EB428-0AB4-428C-A44E-EC32C1C1B28F}"/>
                </a:ext>
              </a:extLst>
            </xdr:cNvPr>
            <xdr:cNvGraphicFramePr/>
          </xdr:nvGraphicFramePr>
          <xdr:xfrm>
            <a:off x="0" y="0"/>
            <a:ext cx="0" cy="0"/>
          </xdr:xfrm>
          <a:graphic>
            <a:graphicData uri="http://schemas.microsoft.com/office/drawing/2010/slicer">
              <sle:slicer xmlns:sle="http://schemas.microsoft.com/office/drawing/2010/slicer" name="Property_Area 1"/>
            </a:graphicData>
          </a:graphic>
        </xdr:graphicFrame>
      </mc:Choice>
      <mc:Fallback xmlns="">
        <xdr:sp macro="" textlink="">
          <xdr:nvSpPr>
            <xdr:cNvPr id="0" name=""/>
            <xdr:cNvSpPr>
              <a:spLocks noTextEdit="1"/>
            </xdr:cNvSpPr>
          </xdr:nvSpPr>
          <xdr:spPr>
            <a:xfrm>
              <a:off x="11390342" y="352689"/>
              <a:ext cx="1814312" cy="1235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552.407944560182" createdVersion="7" refreshedVersion="7" minRefreshableVersion="3" recordCount="614" xr:uid="{A53CC7BC-1659-4019-92EC-A85BF5D98D34}">
  <cacheSource type="worksheet">
    <worksheetSource name="loan_data_set"/>
  </cacheSource>
  <cacheFields count="13">
    <cacheField name="Loan_ID" numFmtId="0">
      <sharedItems count="614">
        <s v="LP001002"/>
        <s v="LP001003"/>
        <s v="LP001005"/>
        <s v="LP001006"/>
        <s v="LP001008"/>
        <s v="LP001011"/>
        <s v="LP001013"/>
        <s v="LP001014"/>
        <s v="LP001018"/>
        <s v="LP001020"/>
        <s v="LP001024"/>
        <s v="LP001027"/>
        <s v="LP001028"/>
        <s v="LP001029"/>
        <s v="LP001030"/>
        <s v="LP001032"/>
        <s v="LP001034"/>
        <s v="LP001036"/>
        <s v="LP001038"/>
        <s v="LP001041"/>
        <s v="LP001043"/>
        <s v="LP001046"/>
        <s v="LP001047"/>
        <s v="LP001050"/>
        <s v="LP001052"/>
        <s v="LP001066"/>
        <s v="LP001068"/>
        <s v="LP001073"/>
        <s v="LP001086"/>
        <s v="LP001087"/>
        <s v="LP001091"/>
        <s v="LP001095"/>
        <s v="LP001097"/>
        <s v="LP001098"/>
        <s v="LP001100"/>
        <s v="LP001106"/>
        <s v="LP001109"/>
        <s v="LP001112"/>
        <s v="LP001114"/>
        <s v="LP001116"/>
        <s v="LP001119"/>
        <s v="LP001120"/>
        <s v="LP001123"/>
        <s v="LP001131"/>
        <s v="LP001136"/>
        <s v="LP001137"/>
        <s v="LP001138"/>
        <s v="LP001144"/>
        <s v="LP001146"/>
        <s v="LP001151"/>
        <s v="LP001155"/>
        <s v="LP001157"/>
        <s v="LP001164"/>
        <s v="LP001179"/>
        <s v="LP001186"/>
        <s v="LP001194"/>
        <s v="LP001195"/>
        <s v="LP001197"/>
        <s v="LP001198"/>
        <s v="LP001199"/>
        <s v="LP001205"/>
        <s v="LP001206"/>
        <s v="LP001207"/>
        <s v="LP001213"/>
        <s v="LP001222"/>
        <s v="LP001225"/>
        <s v="LP001228"/>
        <s v="LP001233"/>
        <s v="LP001238"/>
        <s v="LP001241"/>
        <s v="LP001243"/>
        <s v="LP001245"/>
        <s v="LP001248"/>
        <s v="LP001250"/>
        <s v="LP001253"/>
        <s v="LP001255"/>
        <s v="LP001256"/>
        <s v="LP001259"/>
        <s v="LP001263"/>
        <s v="LP001264"/>
        <s v="LP001265"/>
        <s v="LP001266"/>
        <s v="LP001267"/>
        <s v="LP001273"/>
        <s v="LP001275"/>
        <s v="LP001279"/>
        <s v="LP001280"/>
        <s v="LP001282"/>
        <s v="LP001289"/>
        <s v="LP001310"/>
        <s v="LP001316"/>
        <s v="LP001318"/>
        <s v="LP001319"/>
        <s v="LP001322"/>
        <s v="LP001325"/>
        <s v="LP001326"/>
        <s v="LP001327"/>
        <s v="LP001333"/>
        <s v="LP001334"/>
        <s v="LP001343"/>
        <s v="LP001345"/>
        <s v="LP001349"/>
        <s v="LP001350"/>
        <s v="LP001356"/>
        <s v="LP001357"/>
        <s v="LP001367"/>
        <s v="LP001369"/>
        <s v="LP001370"/>
        <s v="LP001379"/>
        <s v="LP001384"/>
        <s v="LP001385"/>
        <s v="LP001387"/>
        <s v="LP001391"/>
        <s v="LP001392"/>
        <s v="LP001398"/>
        <s v="LP001401"/>
        <s v="LP001404"/>
        <s v="LP001405"/>
        <s v="LP001421"/>
        <s v="LP001422"/>
        <s v="LP001426"/>
        <s v="LP001430"/>
        <s v="LP001431"/>
        <s v="LP001432"/>
        <s v="LP001439"/>
        <s v="LP001443"/>
        <s v="LP001448"/>
        <s v="LP001449"/>
        <s v="LP001451"/>
        <s v="LP001465"/>
        <s v="LP001469"/>
        <s v="LP001473"/>
        <s v="LP001478"/>
        <s v="LP001482"/>
        <s v="LP001487"/>
        <s v="LP001488"/>
        <s v="LP001489"/>
        <s v="LP001491"/>
        <s v="LP001492"/>
        <s v="LP001493"/>
        <s v="LP001497"/>
        <s v="LP001498"/>
        <s v="LP001504"/>
        <s v="LP001507"/>
        <s v="LP001508"/>
        <s v="LP001514"/>
        <s v="LP001516"/>
        <s v="LP001518"/>
        <s v="LP001519"/>
        <s v="LP001520"/>
        <s v="LP001528"/>
        <s v="LP001529"/>
        <s v="LP001531"/>
        <s v="LP001532"/>
        <s v="LP001535"/>
        <s v="LP001536"/>
        <s v="LP001541"/>
        <s v="LP001543"/>
        <s v="LP001546"/>
        <s v="LP001552"/>
        <s v="LP001560"/>
        <s v="LP001562"/>
        <s v="LP001565"/>
        <s v="LP001570"/>
        <s v="LP001572"/>
        <s v="LP001574"/>
        <s v="LP001577"/>
        <s v="LP001578"/>
        <s v="LP001579"/>
        <s v="LP001580"/>
        <s v="LP001581"/>
        <s v="LP001585"/>
        <s v="LP001586"/>
        <s v="LP001594"/>
        <s v="LP001603"/>
        <s v="LP001606"/>
        <s v="LP001608"/>
        <s v="LP001610"/>
        <s v="LP001616"/>
        <s v="LP001630"/>
        <s v="LP001633"/>
        <s v="LP001634"/>
        <s v="LP001636"/>
        <s v="LP001637"/>
        <s v="LP001639"/>
        <s v="LP001640"/>
        <s v="LP001641"/>
        <s v="LP001643"/>
        <s v="LP001644"/>
        <s v="LP001647"/>
        <s v="LP001653"/>
        <s v="LP001656"/>
        <s v="LP001657"/>
        <s v="LP001658"/>
        <s v="LP001664"/>
        <s v="LP001665"/>
        <s v="LP001666"/>
        <s v="LP001669"/>
        <s v="LP001671"/>
        <s v="LP001673"/>
        <s v="LP001674"/>
        <s v="LP001677"/>
        <s v="LP001682"/>
        <s v="LP001688"/>
        <s v="LP001691"/>
        <s v="LP001692"/>
        <s v="LP001693"/>
        <s v="LP001698"/>
        <s v="LP001699"/>
        <s v="LP001702"/>
        <s v="LP001708"/>
        <s v="LP001711"/>
        <s v="LP001713"/>
        <s v="LP001715"/>
        <s v="LP001716"/>
        <s v="LP001720"/>
        <s v="LP001722"/>
        <s v="LP001726"/>
        <s v="LP001732"/>
        <s v="LP001734"/>
        <s v="LP001736"/>
        <s v="LP001743"/>
        <s v="LP001744"/>
        <s v="LP001749"/>
        <s v="LP001750"/>
        <s v="LP001751"/>
        <s v="LP001754"/>
        <s v="LP001758"/>
        <s v="LP001760"/>
        <s v="LP001761"/>
        <s v="LP001765"/>
        <s v="LP001768"/>
        <s v="LP001770"/>
        <s v="LP001776"/>
        <s v="LP001778"/>
        <s v="LP001784"/>
        <s v="LP001786"/>
        <s v="LP001788"/>
        <s v="LP001790"/>
        <s v="LP001792"/>
        <s v="LP001798"/>
        <s v="LP001800"/>
        <s v="LP001806"/>
        <s v="LP001807"/>
        <s v="LP001811"/>
        <s v="LP001813"/>
        <s v="LP001814"/>
        <s v="LP001819"/>
        <s v="LP001824"/>
        <s v="LP001825"/>
        <s v="LP001835"/>
        <s v="LP001836"/>
        <s v="LP001841"/>
        <s v="LP001843"/>
        <s v="LP001844"/>
        <s v="LP001846"/>
        <s v="LP001849"/>
        <s v="LP001854"/>
        <s v="LP001859"/>
        <s v="LP001864"/>
        <s v="LP001865"/>
        <s v="LP001868"/>
        <s v="LP001870"/>
        <s v="LP001871"/>
        <s v="LP001872"/>
        <s v="LP001875"/>
        <s v="LP001877"/>
        <s v="LP001882"/>
        <s v="LP001883"/>
        <s v="LP001884"/>
        <s v="LP001888"/>
        <s v="LP001891"/>
        <s v="LP001892"/>
        <s v="LP001894"/>
        <s v="LP001896"/>
        <s v="LP001900"/>
        <s v="LP001903"/>
        <s v="LP001904"/>
        <s v="LP001907"/>
        <s v="LP001908"/>
        <s v="LP001910"/>
        <s v="LP001914"/>
        <s v="LP001915"/>
        <s v="LP001917"/>
        <s v="LP001922"/>
        <s v="LP001924"/>
        <s v="LP001925"/>
        <s v="LP001926"/>
        <s v="LP001931"/>
        <s v="LP001935"/>
        <s v="LP001936"/>
        <s v="LP001938"/>
        <s v="LP001940"/>
        <s v="LP001945"/>
        <s v="LP001947"/>
        <s v="LP001949"/>
        <s v="LP001953"/>
        <s v="LP001954"/>
        <s v="LP001955"/>
        <s v="LP001963"/>
        <s v="LP001964"/>
        <s v="LP001972"/>
        <s v="LP001974"/>
        <s v="LP001977"/>
        <s v="LP001978"/>
        <s v="LP001990"/>
        <s v="LP001993"/>
        <s v="LP001994"/>
        <s v="LP001996"/>
        <s v="LP001998"/>
        <s v="LP002002"/>
        <s v="LP002004"/>
        <s v="LP002006"/>
        <s v="LP002008"/>
        <s v="LP002024"/>
        <s v="LP002031"/>
        <s v="LP002035"/>
        <s v="LP002036"/>
        <s v="LP002043"/>
        <s v="LP002050"/>
        <s v="LP002051"/>
        <s v="LP002053"/>
        <s v="LP002054"/>
        <s v="LP002055"/>
        <s v="LP002065"/>
        <s v="LP002067"/>
        <s v="LP002068"/>
        <s v="LP002082"/>
        <s v="LP002086"/>
        <s v="LP002087"/>
        <s v="LP002097"/>
        <s v="LP002098"/>
        <s v="LP002100"/>
        <s v="LP002101"/>
        <s v="LP002103"/>
        <s v="LP002106"/>
        <s v="LP002110"/>
        <s v="LP002112"/>
        <s v="LP002113"/>
        <s v="LP002114"/>
        <s v="LP002115"/>
        <s v="LP002116"/>
        <s v="LP002119"/>
        <s v="LP002126"/>
        <s v="LP002128"/>
        <s v="LP002129"/>
        <s v="LP002130"/>
        <s v="LP002131"/>
        <s v="LP002137"/>
        <s v="LP002138"/>
        <s v="LP002139"/>
        <s v="LP002140"/>
        <s v="LP002141"/>
        <s v="LP002142"/>
        <s v="LP002143"/>
        <s v="LP002144"/>
        <s v="LP002149"/>
        <s v="LP002151"/>
        <s v="LP002158"/>
        <s v="LP002160"/>
        <s v="LP002161"/>
        <s v="LP002170"/>
        <s v="LP002175"/>
        <s v="LP002178"/>
        <s v="LP002180"/>
        <s v="LP002181"/>
        <s v="LP002187"/>
        <s v="LP002188"/>
        <s v="LP002190"/>
        <s v="LP002191"/>
        <s v="LP002194"/>
        <s v="LP002197"/>
        <s v="LP002201"/>
        <s v="LP002205"/>
        <s v="LP002209"/>
        <s v="LP002211"/>
        <s v="LP002219"/>
        <s v="LP002223"/>
        <s v="LP002224"/>
        <s v="LP002225"/>
        <s v="LP002226"/>
        <s v="LP002229"/>
        <s v="LP002231"/>
        <s v="LP002234"/>
        <s v="LP002236"/>
        <s v="LP002237"/>
        <s v="LP002239"/>
        <s v="LP002243"/>
        <s v="LP002244"/>
        <s v="LP002250"/>
        <s v="LP002255"/>
        <s v="LP002262"/>
        <s v="LP002263"/>
        <s v="LP002265"/>
        <s v="LP002266"/>
        <s v="LP002272"/>
        <s v="LP002277"/>
        <s v="LP002281"/>
        <s v="LP002284"/>
        <s v="LP002287"/>
        <s v="LP002288"/>
        <s v="LP002296"/>
        <s v="LP002297"/>
        <s v="LP002300"/>
        <s v="LP002301"/>
        <s v="LP002305"/>
        <s v="LP002308"/>
        <s v="LP002314"/>
        <s v="LP002315"/>
        <s v="LP002317"/>
        <s v="LP002318"/>
        <s v="LP002319"/>
        <s v="LP002328"/>
        <s v="LP002332"/>
        <s v="LP002335"/>
        <s v="LP002337"/>
        <s v="LP002341"/>
        <s v="LP002342"/>
        <s v="LP002345"/>
        <s v="LP002347"/>
        <s v="LP002348"/>
        <s v="LP002357"/>
        <s v="LP002361"/>
        <s v="LP002362"/>
        <s v="LP002364"/>
        <s v="LP002366"/>
        <s v="LP002367"/>
        <s v="LP002368"/>
        <s v="LP002369"/>
        <s v="LP002370"/>
        <s v="LP002377"/>
        <s v="LP002379"/>
        <s v="LP002386"/>
        <s v="LP002387"/>
        <s v="LP002390"/>
        <s v="LP002393"/>
        <s v="LP002398"/>
        <s v="LP002401"/>
        <s v="LP002403"/>
        <s v="LP002407"/>
        <s v="LP002408"/>
        <s v="LP002409"/>
        <s v="LP002418"/>
        <s v="LP002422"/>
        <s v="LP002424"/>
        <s v="LP002429"/>
        <s v="LP002434"/>
        <s v="LP002435"/>
        <s v="LP002443"/>
        <s v="LP002444"/>
        <s v="LP002446"/>
        <s v="LP002447"/>
        <s v="LP002448"/>
        <s v="LP002449"/>
        <s v="LP002453"/>
        <s v="LP002455"/>
        <s v="LP002459"/>
        <s v="LP002467"/>
        <s v="LP002472"/>
        <s v="LP002473"/>
        <s v="LP002478"/>
        <s v="LP002484"/>
        <s v="LP002487"/>
        <s v="LP002489"/>
        <s v="LP002493"/>
        <s v="LP002494"/>
        <s v="LP002500"/>
        <s v="LP002501"/>
        <s v="LP002502"/>
        <s v="LP002505"/>
        <s v="LP002515"/>
        <s v="LP002517"/>
        <s v="LP002519"/>
        <s v="LP002522"/>
        <s v="LP002524"/>
        <s v="LP002527"/>
        <s v="LP002529"/>
        <s v="LP002530"/>
        <s v="LP002531"/>
        <s v="LP002533"/>
        <s v="LP002534"/>
        <s v="LP002536"/>
        <s v="LP002537"/>
        <s v="LP002541"/>
        <s v="LP002543"/>
        <s v="LP002544"/>
        <s v="LP002545"/>
        <s v="LP002547"/>
        <s v="LP002555"/>
        <s v="LP002556"/>
        <s v="LP002560"/>
        <s v="LP002562"/>
        <s v="LP002571"/>
        <s v="LP002582"/>
        <s v="LP002585"/>
        <s v="LP002586"/>
        <s v="LP002587"/>
        <s v="LP002588"/>
        <s v="LP002600"/>
        <s v="LP002602"/>
        <s v="LP002603"/>
        <s v="LP002606"/>
        <s v="LP002615"/>
        <s v="LP002618"/>
        <s v="LP002619"/>
        <s v="LP002622"/>
        <s v="LP002624"/>
        <s v="LP002625"/>
        <s v="LP002626"/>
        <s v="LP002634"/>
        <s v="LP002637"/>
        <s v="LP002640"/>
        <s v="LP002643"/>
        <s v="LP002648"/>
        <s v="LP002652"/>
        <s v="LP002659"/>
        <s v="LP002670"/>
        <s v="LP002682"/>
        <s v="LP002683"/>
        <s v="LP002684"/>
        <s v="LP002689"/>
        <s v="LP002690"/>
        <s v="LP002692"/>
        <s v="LP002693"/>
        <s v="LP002697"/>
        <s v="LP002699"/>
        <s v="LP002705"/>
        <s v="LP002706"/>
        <s v="LP002714"/>
        <s v="LP002716"/>
        <s v="LP002717"/>
        <s v="LP002720"/>
        <s v="LP002723"/>
        <s v="LP002729"/>
        <s v="LP002731"/>
        <s v="LP002732"/>
        <s v="LP002734"/>
        <s v="LP002738"/>
        <s v="LP002739"/>
        <s v="LP002740"/>
        <s v="LP002741"/>
        <s v="LP002743"/>
        <s v="LP002753"/>
        <s v="LP002755"/>
        <s v="LP002757"/>
        <s v="LP002767"/>
        <s v="LP002768"/>
        <s v="LP002772"/>
        <s v="LP002776"/>
        <s v="LP002777"/>
        <s v="LP002778"/>
        <s v="LP002784"/>
        <s v="LP002785"/>
        <s v="LP002788"/>
        <s v="LP002789"/>
        <s v="LP002792"/>
        <s v="LP002794"/>
        <s v="LP002795"/>
        <s v="LP002798"/>
        <s v="LP002804"/>
        <s v="LP002807"/>
        <s v="LP002813"/>
        <s v="LP002820"/>
        <s v="LP002821"/>
        <s v="LP002832"/>
        <s v="LP002833"/>
        <s v="LP002836"/>
        <s v="LP002837"/>
        <s v="LP002840"/>
        <s v="LP002841"/>
        <s v="LP002842"/>
        <s v="LP002847"/>
        <s v="LP002855"/>
        <s v="LP002862"/>
        <s v="LP002863"/>
        <s v="LP002868"/>
        <s v="LP002872"/>
        <s v="LP002874"/>
        <s v="LP002877"/>
        <s v="LP002888"/>
        <s v="LP002892"/>
        <s v="LP002893"/>
        <s v="LP002894"/>
        <s v="LP002898"/>
        <s v="LP002911"/>
        <s v="LP002912"/>
        <s v="LP002916"/>
        <s v="LP002917"/>
        <s v="LP002925"/>
        <s v="LP002926"/>
        <s v="LP002928"/>
        <s v="LP002931"/>
        <s v="LP002933"/>
        <s v="LP002936"/>
        <s v="LP002938"/>
        <s v="LP002940"/>
        <s v="LP002941"/>
        <s v="LP002943"/>
        <s v="LP002945"/>
        <s v="LP002948"/>
        <s v="LP002949"/>
        <s v="LP002950"/>
        <s v="LP002953"/>
        <s v="LP002958"/>
        <s v="LP002959"/>
        <s v="LP002960"/>
        <s v="LP002961"/>
        <s v="LP002964"/>
        <s v="LP002974"/>
        <s v="LP002978"/>
        <s v="LP002979"/>
        <s v="LP002983"/>
        <s v="LP002984"/>
        <s v="LP002990"/>
      </sharedItems>
    </cacheField>
    <cacheField name="Gender" numFmtId="0">
      <sharedItems count="3">
        <s v="Male"/>
        <s v="Female"/>
        <s v=""/>
      </sharedItems>
    </cacheField>
    <cacheField name="Married" numFmtId="0">
      <sharedItems/>
    </cacheField>
    <cacheField name="Dependents" numFmtId="0">
      <sharedItems containsString="0" containsBlank="1" containsNumber="1" containsInteger="1" minValue="0" maxValue="3"/>
    </cacheField>
    <cacheField name="Education" numFmtId="0">
      <sharedItems count="2">
        <s v="Graduate"/>
        <s v="Not Graduate"/>
      </sharedItems>
    </cacheField>
    <cacheField name="Self_Employed" numFmtId="0">
      <sharedItems count="3">
        <s v="No"/>
        <s v="Yes"/>
        <s v=""/>
      </sharedItems>
    </cacheField>
    <cacheField name="ApplicantIncome" numFmtId="0">
      <sharedItems containsSemiMixedTypes="0" containsString="0" containsNumber="1" containsInteger="1" minValue="150" maxValue="81000"/>
    </cacheField>
    <cacheField name="CoapplicantIncome" numFmtId="0">
      <sharedItems containsSemiMixedTypes="0" containsString="0" containsNumber="1" containsInteger="1" minValue="0" maxValue="41667"/>
    </cacheField>
    <cacheField name="LoanAmount" numFmtId="0">
      <sharedItems containsString="0" containsBlank="1" containsNumber="1" containsInteger="1" minValue="9" maxValue="188000"/>
    </cacheField>
    <cacheField name="Loan_Amount_Term" numFmtId="0">
      <sharedItems containsString="0" containsBlank="1" containsNumber="1" containsInteger="1" minValue="12" maxValue="480"/>
    </cacheField>
    <cacheField name="Credit_History" numFmtId="0">
      <sharedItems containsString="0" containsBlank="1" containsNumber="1" containsInteger="1" minValue="0" maxValue="1"/>
    </cacheField>
    <cacheField name="Property_Area" numFmtId="0">
      <sharedItems count="3">
        <s v="Urban"/>
        <s v="Rural"/>
        <s v="Semiurban"/>
      </sharedItems>
    </cacheField>
    <cacheField name="Loan_Status" numFmtId="0">
      <sharedItems/>
    </cacheField>
  </cacheFields>
  <extLst>
    <ext xmlns:x14="http://schemas.microsoft.com/office/spreadsheetml/2009/9/main" uri="{725AE2AE-9491-48be-B2B4-4EB974FC3084}">
      <x14:pivotCacheDefinition pivotCacheId="3143020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4552.655099421296" createdVersion="7" refreshedVersion="7" minRefreshableVersion="3" recordCount="0" supportSubquery="1" supportAdvancedDrill="1" xr:uid="{1BCE39B4-0412-45DB-8A61-AAA69F584C27}">
  <cacheSource type="external" connectionId="4"/>
  <cacheFields count="8">
    <cacheField name="[loan_data_set  2].[Education].[Education]" caption="Education" numFmtId="0" hierarchy="18" level="1">
      <sharedItems count="2">
        <s v="Graduate"/>
        <s v="Not Graduate"/>
      </sharedItems>
      <extLst>
        <ext xmlns:x15="http://schemas.microsoft.com/office/spreadsheetml/2010/11/main" uri="{4F2E5C28-24EA-4eb8-9CBF-B6C8F9C3D259}">
          <x15:cachedUniqueNames>
            <x15:cachedUniqueName index="0" name="[loan_data_set  2].[Education].&amp;[Graduate]"/>
            <x15:cachedUniqueName index="1" name="[loan_data_set  2].[Education].&amp;[Not Graduate]"/>
          </x15:cachedUniqueNames>
        </ext>
      </extLst>
    </cacheField>
    <cacheField name="[loan_data_set  2].[Gender].[Gender]" caption="Gender" numFmtId="0" hierarchy="15" level="1">
      <sharedItems count="3">
        <s v=""/>
        <s v="Female"/>
        <s v="Male"/>
      </sharedItems>
      <extLst>
        <ext xmlns:x15="http://schemas.microsoft.com/office/spreadsheetml/2010/11/main" uri="{4F2E5C28-24EA-4eb8-9CBF-B6C8F9C3D259}">
          <x15:cachedUniqueNames>
            <x15:cachedUniqueName index="0" name="[loan_data_set  2].[Gender].&amp;[]"/>
            <x15:cachedUniqueName index="1" name="[loan_data_set  2].[Gender].&amp;[Female]"/>
            <x15:cachedUniqueName index="2" name="[loan_data_set  2].[Gender].&amp;[Male]"/>
          </x15:cachedUniqueNames>
        </ext>
      </extLst>
    </cacheField>
    <cacheField name="[loan_data_set  2].[Married].[Married]" caption="Married" numFmtId="0" hierarchy="16" level="1">
      <sharedItems count="3">
        <s v="No"/>
        <s v="Yes"/>
        <s v=""/>
      </sharedItems>
      <extLst>
        <ext xmlns:x15="http://schemas.microsoft.com/office/spreadsheetml/2010/11/main" uri="{4F2E5C28-24EA-4eb8-9CBF-B6C8F9C3D259}">
          <x15:cachedUniqueNames>
            <x15:cachedUniqueName index="0" name="[loan_data_set  2].[Married].&amp;[No]"/>
            <x15:cachedUniqueName index="1" name="[loan_data_set  2].[Married].&amp;[Yes]"/>
            <x15:cachedUniqueName index="2" name="[loan_data_set  2].[Married].&amp;[]"/>
          </x15:cachedUniqueNames>
        </ext>
      </extLst>
    </cacheField>
    <cacheField name="[loan_data_set  2].[Property_Area].[Property_Area]" caption="Property_Area" numFmtId="0" hierarchy="26" level="1">
      <sharedItems count="3">
        <s v="Rural"/>
        <s v="Semiurban"/>
        <s v="Urban"/>
      </sharedItems>
      <extLst>
        <ext xmlns:x15="http://schemas.microsoft.com/office/spreadsheetml/2010/11/main" uri="{4F2E5C28-24EA-4eb8-9CBF-B6C8F9C3D259}">
          <x15:cachedUniqueNames>
            <x15:cachedUniqueName index="0" name="[loan_data_set  2].[Property_Area].&amp;[Rural]"/>
            <x15:cachedUniqueName index="1" name="[loan_data_set  2].[Property_Area].&amp;[Semiurban]"/>
            <x15:cachedUniqueName index="2" name="[loan_data_set  2].[Property_Area].&amp;[Urban]"/>
          </x15:cachedUniqueNames>
        </ext>
      </extLst>
    </cacheField>
    <cacheField name="[Measures].[Loan Interest]" caption="Loan Interest" numFmtId="0" hierarchy="30" level="32767"/>
    <cacheField name="[Measures].[Sum of ApplicantIncome]" caption="Sum of ApplicantIncome" numFmtId="0" hierarchy="39" level="32767"/>
    <cacheField name="[Measures].[Average income]" caption="Average income" numFmtId="0" hierarchy="31" level="32767"/>
    <cacheField name="[Measures].[_Average income Status]" caption="_Average income Status" numFmtId="0" hierarchy="37" level="32767"/>
  </cacheFields>
  <cacheHierarchies count="52">
    <cacheHierarchy uniqueName="[loan_data_set].[Loan_ID]" caption="Loan_ID" attribute="1" defaultMemberUniqueName="[loan_data_set].[Loan_ID].[All]" allUniqueName="[loan_data_set].[Loan_ID].[All]" dimensionUniqueName="[loan_data_set]" displayFolder="" count="0" memberValueDatatype="130" unbalanced="0"/>
    <cacheHierarchy uniqueName="[loan_data_set].[Gender]" caption="Gender" attribute="1" defaultMemberUniqueName="[loan_data_set].[Gender].[All]" allUniqueName="[loan_data_set].[Gender].[All]" dimensionUniqueName="[loan_data_set]" displayFolder="" count="0" memberValueDatatype="130" unbalanced="0"/>
    <cacheHierarchy uniqueName="[loan_data_set].[Married]" caption="Married" attribute="1" defaultMemberUniqueName="[loan_data_set].[Married].[All]" allUniqueName="[loan_data_set].[Married].[All]" dimensionUniqueName="[loan_data_set]" displayFolder="" count="0" memberValueDatatype="130" unbalanced="0"/>
    <cacheHierarchy uniqueName="[loan_data_set].[Dependents]" caption="Dependents" attribute="1" defaultMemberUniqueName="[loan_data_set].[Dependents].[All]" allUniqueName="[loan_data_set].[Dependents].[All]" dimensionUniqueName="[loan_data_set]" displayFolder="" count="0" memberValueDatatype="20" unbalanced="0"/>
    <cacheHierarchy uniqueName="[loan_data_set].[Education]" caption="Education" attribute="1" defaultMemberUniqueName="[loan_data_set].[Education].[All]" allUniqueName="[loan_data_set].[Education].[All]" dimensionUniqueName="[loan_data_set]" displayFolder="" count="0" memberValueDatatype="130" unbalanced="0"/>
    <cacheHierarchy uniqueName="[loan_data_set].[Self_Employed]" caption="Self_Employed" attribute="1" defaultMemberUniqueName="[loan_data_set].[Self_Employed].[All]" allUniqueName="[loan_data_set].[Self_Employed].[All]" dimensionUniqueName="[loan_data_set]" displayFolder="" count="0" memberValueDatatype="130" unbalanced="0"/>
    <cacheHierarchy uniqueName="[loan_data_set].[ApplicantIncome]" caption="ApplicantIncome" attribute="1" defaultMemberUniqueName="[loan_data_set].[ApplicantIncome].[All]" allUniqueName="[loan_data_set].[ApplicantIncome].[All]" dimensionUniqueName="[loan_data_set]" displayFolder="" count="0" memberValueDatatype="20" unbalanced="0"/>
    <cacheHierarchy uniqueName="[loan_data_set].[CoapplicantIncome]" caption="CoapplicantIncome" attribute="1" defaultMemberUniqueName="[loan_data_set].[CoapplicantIncome].[All]" allUniqueName="[loan_data_set].[CoapplicantIncome].[All]" dimensionUniqueName="[loan_data_set]" displayFolder="" count="0" memberValueDatatype="20" unbalanced="0"/>
    <cacheHierarchy uniqueName="[loan_data_set].[LoanAmount]" caption="LoanAmount" attribute="1" defaultMemberUniqueName="[loan_data_set].[LoanAmount].[All]" allUniqueName="[loan_data_set].[LoanAmount].[All]" dimensionUniqueName="[loan_data_set]" displayFolder="" count="0" memberValueDatatype="20" unbalanced="0"/>
    <cacheHierarchy uniqueName="[loan_data_set].[Loan_Amount_Term]" caption="Loan_Amount_Term" attribute="1" defaultMemberUniqueName="[loan_data_set].[Loan_Amount_Term].[All]" allUniqueName="[loan_data_set].[Loan_Amount_Term].[All]" dimensionUniqueName="[loan_data_set]" displayFolder="" count="0" memberValueDatatype="20" unbalanced="0"/>
    <cacheHierarchy uniqueName="[loan_data_set].[Credit_History]" caption="Credit_History" attribute="1" defaultMemberUniqueName="[loan_data_set].[Credit_History].[All]" allUniqueName="[loan_data_set].[Credit_History].[All]" dimensionUniqueName="[loan_data_set]" displayFolder="" count="0" memberValueDatatype="20" unbalanced="0"/>
    <cacheHierarchy uniqueName="[loan_data_set].[Property_Area]" caption="Property_Area" attribute="1" defaultMemberUniqueName="[loan_data_set].[Property_Area].[All]" allUniqueName="[loan_data_set].[Property_Area].[All]" dimensionUniqueName="[loan_data_set]" displayFolder="" count="0" memberValueDatatype="130" unbalanced="0"/>
    <cacheHierarchy uniqueName="[loan_data_set].[Loan_Status]" caption="Loan_Status" attribute="1" defaultMemberUniqueName="[loan_data_set].[Loan_Status].[All]" allUniqueName="[loan_data_set].[Loan_Status].[All]" dimensionUniqueName="[loan_data_set]" displayFolder="" count="0" memberValueDatatype="130" unbalanced="0"/>
    <cacheHierarchy uniqueName="[loan_data_set].[Date]" caption="Date" attribute="1" time="1" defaultMemberUniqueName="[loan_data_set].[Date].[All]" allUniqueName="[loan_data_set].[Date].[All]" dimensionUniqueName="[loan_data_set]" displayFolder="" count="0" memberValueDatatype="7" unbalanced="0"/>
    <cacheHierarchy uniqueName="[loan_data_set  2].[Loan_ID]" caption="Loan_ID" attribute="1" defaultMemberUniqueName="[loan_data_set  2].[Loan_ID].[All]" allUniqueName="[loan_data_set  2].[Loan_ID].[All]" dimensionUniqueName="[loan_data_set  2]" displayFolder="" count="0" memberValueDatatype="130" unbalanced="0"/>
    <cacheHierarchy uniqueName="[loan_data_set  2].[Gender]" caption="Gender" attribute="1" defaultMemberUniqueName="[loan_data_set  2].[Gender].[All]" allUniqueName="[loan_data_set  2].[Gender].[All]" dimensionUniqueName="[loan_data_set  2]" displayFolder="" count="2" memberValueDatatype="130" unbalanced="0">
      <fieldsUsage count="2">
        <fieldUsage x="-1"/>
        <fieldUsage x="1"/>
      </fieldsUsage>
    </cacheHierarchy>
    <cacheHierarchy uniqueName="[loan_data_set  2].[Married]" caption="Married" attribute="1" defaultMemberUniqueName="[loan_data_set  2].[Married].[All]" allUniqueName="[loan_data_set  2].[Married].[All]" dimensionUniqueName="[loan_data_set  2]" displayFolder="" count="2" memberValueDatatype="130" unbalanced="0">
      <fieldsUsage count="2">
        <fieldUsage x="-1"/>
        <fieldUsage x="2"/>
      </fieldsUsage>
    </cacheHierarchy>
    <cacheHierarchy uniqueName="[loan_data_set  2].[Dependents]" caption="Dependents" attribute="1" defaultMemberUniqueName="[loan_data_set  2].[Dependents].[All]" allUniqueName="[loan_data_set  2].[Dependents].[All]" dimensionUniqueName="[loan_data_set  2]" displayFolder="" count="0" memberValueDatatype="20" unbalanced="0"/>
    <cacheHierarchy uniqueName="[loan_data_set  2].[Education]" caption="Education" attribute="1" defaultMemberUniqueName="[loan_data_set  2].[Education].[All]" allUniqueName="[loan_data_set  2].[Education].[All]" dimensionUniqueName="[loan_data_set  2]" displayFolder="" count="2" memberValueDatatype="130" unbalanced="0">
      <fieldsUsage count="2">
        <fieldUsage x="-1"/>
        <fieldUsage x="0"/>
      </fieldsUsage>
    </cacheHierarchy>
    <cacheHierarchy uniqueName="[loan_data_set  2].[Self_Employed]" caption="Self_Employed" attribute="1" defaultMemberUniqueName="[loan_data_set  2].[Self_Employed].[All]" allUniqueName="[loan_data_set  2].[Self_Employed].[All]" dimensionUniqueName="[loan_data_set  2]" displayFolder="" count="0" memberValueDatatype="130" unbalanced="0"/>
    <cacheHierarchy uniqueName="[loan_data_set  2].[InterstZone]" caption="InterstZone" defaultMemberUniqueName="[loan_data_set  2].[InterstZone].[All]" allUniqueName="[loan_data_set  2].[InterstZone].[All]" dimensionUniqueName="[loan_data_set  2]" displayFolder="" count="0" unbalanced="0"/>
    <cacheHierarchy uniqueName="[loan_data_set  2].[ApplicantIncome]" caption="ApplicantIncome" attribute="1" defaultMemberUniqueName="[loan_data_set  2].[ApplicantIncome].[All]" allUniqueName="[loan_data_set  2].[ApplicantIncome].[All]" dimensionUniqueName="[loan_data_set  2]" displayFolder="" count="0" memberValueDatatype="20" unbalanced="0"/>
    <cacheHierarchy uniqueName="[loan_data_set  2].[CoapplicantIncome]" caption="CoapplicantIncome" attribute="1" defaultMemberUniqueName="[loan_data_set  2].[CoapplicantIncome].[All]" allUniqueName="[loan_data_set  2].[CoapplicantIncome].[All]" dimensionUniqueName="[loan_data_set  2]" displayFolder="" count="0" memberValueDatatype="20" unbalanced="0"/>
    <cacheHierarchy uniqueName="[loan_data_set  2].[LoanAmount]" caption="LoanAmount" attribute="1" defaultMemberUniqueName="[loan_data_set  2].[LoanAmount].[All]" allUniqueName="[loan_data_set  2].[LoanAmount].[All]" dimensionUniqueName="[loan_data_set  2]" displayFolder="" count="0" memberValueDatatype="20" unbalanced="0"/>
    <cacheHierarchy uniqueName="[loan_data_set  2].[Loan_Amount_Term]" caption="Loan_Amount_Term" attribute="1" defaultMemberUniqueName="[loan_data_set  2].[Loan_Amount_Term].[All]" allUniqueName="[loan_data_set  2].[Loan_Amount_Term].[All]" dimensionUniqueName="[loan_data_set  2]" displayFolder="" count="0" memberValueDatatype="20" unbalanced="0"/>
    <cacheHierarchy uniqueName="[loan_data_set  2].[Credit_History]" caption="Credit_History" attribute="1" defaultMemberUniqueName="[loan_data_set  2].[Credit_History].[All]" allUniqueName="[loan_data_set  2].[Credit_History].[All]" dimensionUniqueName="[loan_data_set  2]" displayFolder="" count="0" memberValueDatatype="20" unbalanced="0"/>
    <cacheHierarchy uniqueName="[loan_data_set  2].[Property_Area]" caption="Property_Area" attribute="1" defaultMemberUniqueName="[loan_data_set  2].[Property_Area].[All]" allUniqueName="[loan_data_set  2].[Property_Area].[All]" dimensionUniqueName="[loan_data_set  2]" displayFolder="" count="2" memberValueDatatype="130" unbalanced="0">
      <fieldsUsage count="2">
        <fieldUsage x="-1"/>
        <fieldUsage x="3"/>
      </fieldsUsage>
    </cacheHierarchy>
    <cacheHierarchy uniqueName="[loan_data_set  2].[Loan_Status]" caption="Loan_Status" attribute="1" defaultMemberUniqueName="[loan_data_set  2].[Loan_Status].[All]" allUniqueName="[loan_data_set  2].[Loan_Status].[All]" dimensionUniqueName="[loan_data_set  2]" displayFolder="" count="0" memberValueDatatype="130" unbalanced="0"/>
    <cacheHierarchy uniqueName="[loan_data_set  2].[sumLoanAMT]" caption="sumLoanAMT" attribute="1" defaultMemberUniqueName="[loan_data_set  2].[sumLoanAMT].[All]" allUniqueName="[loan_data_set  2].[sumLoanAMT].[All]" dimensionUniqueName="[loan_data_set  2]" displayFolder="" count="0" memberValueDatatype="20" unbalanced="0"/>
    <cacheHierarchy uniqueName="[View].[View]" caption="View" attribute="1" defaultMemberUniqueName="[View].[View].[All]" allUniqueName="[View].[View].[All]" dimensionUniqueName="[View]" displayFolder="" count="0" memberValueDatatype="130" unbalanced="0"/>
    <cacheHierarchy uniqueName="[Measures].[Loan Interest]" caption="Loan Interest" measure="1" displayFolder="" measureGroup="loan_data_set  2" count="0" oneField="1">
      <fieldsUsage count="1">
        <fieldUsage x="4"/>
      </fieldsUsage>
    </cacheHierarchy>
    <cacheHierarchy uniqueName="[Measures].[Average income]" caption="Average income" measure="1" displayFolder="" measureGroup="loan_data_set  2" count="0" oneField="1">
      <fieldsUsage count="1">
        <fieldUsage x="6"/>
      </fieldsUsage>
    </cacheHierarchy>
    <cacheHierarchy uniqueName="[Measures].[__XL_Count loan_data_set  2]" caption="__XL_Count loan_data_set  2" measure="1" displayFolder="" measureGroup="loan_data_set  2" count="0" hidden="1"/>
    <cacheHierarchy uniqueName="[Measures].[__XL_Count Table1]" caption="__XL_Count Table1" measure="1" displayFolder="" measureGroup="View" count="0" hidden="1"/>
    <cacheHierarchy uniqueName="[Measures].[__XL_Count loan_data_set]" caption="__XL_Count loan_data_set" measure="1" displayFolder="" measureGroup="loan_data_set" count="0" hidden="1"/>
    <cacheHierarchy uniqueName="[Measures].[__XL_Count of Models]" caption="__XL_Count of Models" measure="1" displayFolder="" count="0" hidden="1"/>
    <cacheHierarchy uniqueName="[Measures].[_Average income Goal]" caption="_Average income Goal" measure="1" displayFolder="" measureGroup="loan_data_set  2" count="0" hidden="1"/>
    <cacheHierarchy uniqueName="[Measures].[_Average income Status]" caption="_Average income Status" measure="1" displayFolder="" measureGroup="loan_data_set  2" count="0" oneField="1" hidden="1">
      <fieldsUsage count="1">
        <fieldUsage x="7"/>
      </fieldsUsage>
    </cacheHierarchy>
    <cacheHierarchy uniqueName="[Measures].[Sum of LoanAmount]" caption="Sum of LoanAmount" measure="1" displayFolder="" measureGroup="loan_data_set  2" count="0" hidden="1">
      <extLst>
        <ext xmlns:x15="http://schemas.microsoft.com/office/spreadsheetml/2010/11/main" uri="{B97F6D7D-B522-45F9-BDA1-12C45D357490}">
          <x15:cacheHierarchy aggregatedColumn="23"/>
        </ext>
      </extLst>
    </cacheHierarchy>
    <cacheHierarchy uniqueName="[Measures].[Sum of ApplicantIncome]" caption="Sum of ApplicantIncome" measure="1" displayFolder="" measureGroup="loan_data_set  2" count="0" oneField="1" hidden="1">
      <fieldsUsage count="1">
        <fieldUsage x="5"/>
      </fieldsUsage>
      <extLst>
        <ext xmlns:x15="http://schemas.microsoft.com/office/spreadsheetml/2010/11/main" uri="{B97F6D7D-B522-45F9-BDA1-12C45D357490}">
          <x15:cacheHierarchy aggregatedColumn="21"/>
        </ext>
      </extLst>
    </cacheHierarchy>
    <cacheHierarchy uniqueName="[Measures].[Sum of Loan_Amount_Term]" caption="Sum of Loan_Amount_Term" measure="1" displayFolder="" measureGroup="loan_data_set  2" count="0" hidden="1">
      <extLst>
        <ext xmlns:x15="http://schemas.microsoft.com/office/spreadsheetml/2010/11/main" uri="{B97F6D7D-B522-45F9-BDA1-12C45D357490}">
          <x15:cacheHierarchy aggregatedColumn="24"/>
        </ext>
      </extLst>
    </cacheHierarchy>
    <cacheHierarchy uniqueName="[Measures].[Sum of Credit_History]" caption="Sum of Credit_History" measure="1" displayFolder="" measureGroup="loan_data_set  2" count="0" hidden="1">
      <extLst>
        <ext xmlns:x15="http://schemas.microsoft.com/office/spreadsheetml/2010/11/main" uri="{B97F6D7D-B522-45F9-BDA1-12C45D357490}">
          <x15:cacheHierarchy aggregatedColumn="25"/>
        </ext>
      </extLst>
    </cacheHierarchy>
    <cacheHierarchy uniqueName="[Measures].[Count of Credit_History]" caption="Count of Credit_History" measure="1" displayFolder="" measureGroup="loan_data_set  2" count="0" hidden="1">
      <extLst>
        <ext xmlns:x15="http://schemas.microsoft.com/office/spreadsheetml/2010/11/main" uri="{B97F6D7D-B522-45F9-BDA1-12C45D357490}">
          <x15:cacheHierarchy aggregatedColumn="25"/>
        </ext>
      </extLst>
    </cacheHierarchy>
    <cacheHierarchy uniqueName="[Measures].[Sum of sumLoanAMT]" caption="Sum of sumLoanAMT" measure="1" displayFolder="" measureGroup="loan_data_set  2" count="0" hidden="1">
      <extLst>
        <ext xmlns:x15="http://schemas.microsoft.com/office/spreadsheetml/2010/11/main" uri="{B97F6D7D-B522-45F9-BDA1-12C45D357490}">
          <x15:cacheHierarchy aggregatedColumn="28"/>
        </ext>
      </extLst>
    </cacheHierarchy>
    <cacheHierarchy uniqueName="[Measures].[Count of LoanAmount]" caption="Count of LoanAmount" measure="1" displayFolder="" measureGroup="loan_data_set  2" count="0" hidden="1">
      <extLst>
        <ext xmlns:x15="http://schemas.microsoft.com/office/spreadsheetml/2010/11/main" uri="{B97F6D7D-B522-45F9-BDA1-12C45D357490}">
          <x15:cacheHierarchy aggregatedColumn="23"/>
        </ext>
      </extLst>
    </cacheHierarchy>
    <cacheHierarchy uniqueName="[Measures].[Max of LoanAmount]" caption="Max of LoanAmount" measure="1" displayFolder="" measureGroup="loan_data_set  2" count="0" hidden="1">
      <extLst>
        <ext xmlns:x15="http://schemas.microsoft.com/office/spreadsheetml/2010/11/main" uri="{B97F6D7D-B522-45F9-BDA1-12C45D357490}">
          <x15:cacheHierarchy aggregatedColumn="23"/>
        </ext>
      </extLst>
    </cacheHierarchy>
    <cacheHierarchy uniqueName="[Measures].[Average of ApplicantIncome]" caption="Average of ApplicantIncome" measure="1" displayFolder="" measureGroup="loan_data_set  2" count="0" hidden="1">
      <extLst>
        <ext xmlns:x15="http://schemas.microsoft.com/office/spreadsheetml/2010/11/main" uri="{B97F6D7D-B522-45F9-BDA1-12C45D357490}">
          <x15:cacheHierarchy aggregatedColumn="21"/>
        </ext>
      </extLst>
    </cacheHierarchy>
    <cacheHierarchy uniqueName="[Measures].[Average of Loan_Amount_Term]" caption="Average of Loan_Amount_Term" measure="1" displayFolder="" measureGroup="loan_data_set  2" count="0" hidden="1">
      <extLst>
        <ext xmlns:x15="http://schemas.microsoft.com/office/spreadsheetml/2010/11/main" uri="{B97F6D7D-B522-45F9-BDA1-12C45D357490}">
          <x15:cacheHierarchy aggregatedColumn="24"/>
        </ext>
      </extLst>
    </cacheHierarchy>
    <cacheHierarchy uniqueName="[Measures].[Average of LoanAmount]" caption="Average of LoanAmount" measure="1" displayFolder="" measureGroup="loan_data_set  2" count="0" hidden="1">
      <extLst>
        <ext xmlns:x15="http://schemas.microsoft.com/office/spreadsheetml/2010/11/main" uri="{B97F6D7D-B522-45F9-BDA1-12C45D357490}">
          <x15:cacheHierarchy aggregatedColumn="23"/>
        </ext>
      </extLst>
    </cacheHierarchy>
    <cacheHierarchy uniqueName="[Measures].[Count of Property_Area]" caption="Count of Property_Area" measure="1" displayFolder="" measureGroup="loan_data_set  2" count="0" hidden="1">
      <extLst>
        <ext xmlns:x15="http://schemas.microsoft.com/office/spreadsheetml/2010/11/main" uri="{B97F6D7D-B522-45F9-BDA1-12C45D357490}">
          <x15:cacheHierarchy aggregatedColumn="26"/>
        </ext>
      </extLst>
    </cacheHierarchy>
    <cacheHierarchy uniqueName="[Measures].[Sum of LoanAmount 2]" caption="Sum of LoanAmount 2" measure="1" displayFolder="" measureGroup="loan_data_set" count="0" hidden="1">
      <extLst>
        <ext xmlns:x15="http://schemas.microsoft.com/office/spreadsheetml/2010/11/main" uri="{B97F6D7D-B522-45F9-BDA1-12C45D357490}">
          <x15:cacheHierarchy aggregatedColumn="8"/>
        </ext>
      </extLst>
    </cacheHierarchy>
    <cacheHierarchy uniqueName="[Measures].[Average of LoanAmount 2]" caption="Average of LoanAmount 2" measure="1" displayFolder="" measureGroup="loan_data_set" count="0" hidden="1">
      <extLst>
        <ext xmlns:x15="http://schemas.microsoft.com/office/spreadsheetml/2010/11/main" uri="{B97F6D7D-B522-45F9-BDA1-12C45D357490}">
          <x15:cacheHierarchy aggregatedColumn="8"/>
        </ext>
      </extLst>
    </cacheHierarchy>
  </cacheHierarchies>
  <kpis count="1">
    <kpi uniqueName="Average income" caption="Average income" displayFolder="" measureGroup="loan_data_set  2" parent="" value="[Measures].[Average income]" goal="[Measures].[_Average income Goal]" status="[Measures].[_Average income Status]" trend="" weight=""/>
  </kpis>
  <dimensions count="4">
    <dimension name="loan_data_set" uniqueName="[loan_data_set]" caption="loan_data_set"/>
    <dimension name="loan_data_set  2" uniqueName="[loan_data_set  2]" caption="loan_data_set  2"/>
    <dimension measure="1" name="Measures" uniqueName="[Measures]" caption="Measures"/>
    <dimension name="View" uniqueName="[View]" caption="View"/>
  </dimensions>
  <measureGroups count="3">
    <measureGroup name="loan_data_set" caption="loan_data_set"/>
    <measureGroup name="loan_data_set  2" caption="loan_data_set  2"/>
    <measureGroup name="View" caption="View"/>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4552.65509641204" createdVersion="5" refreshedVersion="7" minRefreshableVersion="3" recordCount="0" supportSubquery="1" supportAdvancedDrill="1" xr:uid="{74AE1F73-D901-4DF8-AA0A-D64466D27A7A}">
  <cacheSource type="external" connectionId="4"/>
  <cacheFields count="4">
    <cacheField name="[loan_data_set  2].[InterstZone].[Property_Area]" caption="Property_Area" numFmtId="0" hierarchy="20" level="1">
      <sharedItems count="3">
        <s v="Rural"/>
        <s v="Semiurban"/>
        <s v="Urban"/>
      </sharedItems>
      <extLst>
        <ext xmlns:x15="http://schemas.microsoft.com/office/spreadsheetml/2010/11/main" uri="{4F2E5C28-24EA-4eb8-9CBF-B6C8F9C3D259}">
          <x15:cachedUniqueNames>
            <x15:cachedUniqueName index="0" name="[loan_data_set  2].[InterstZone].[Property_Area].&amp;[Rural]"/>
            <x15:cachedUniqueName index="1" name="[loan_data_set  2].[InterstZone].[Property_Area].&amp;[Semiurban]"/>
            <x15:cachedUniqueName index="2" name="[loan_data_set  2].[InterstZone].[Property_Area].&amp;[Urban]"/>
          </x15:cachedUniqueNames>
        </ext>
      </extLst>
    </cacheField>
    <cacheField name="[loan_data_set  2].[InterstZone].[Education]" caption="Education" numFmtId="0" hierarchy="20" level="2">
      <sharedItems containsSemiMixedTypes="0" containsNonDate="0" containsString="0"/>
    </cacheField>
    <cacheField name="[loan_data_set  2].[InterstZone].[Gender]" caption="Gender" numFmtId="0" hierarchy="20" level="3">
      <sharedItems containsSemiMixedTypes="0" containsNonDate="0" containsString="0"/>
    </cacheField>
    <cacheField name="[Measures].[Sum of LoanAmount]" caption="Sum of LoanAmount" numFmtId="0" hierarchy="38" level="32767"/>
  </cacheFields>
  <cacheHierarchies count="52">
    <cacheHierarchy uniqueName="[loan_data_set].[Loan_ID]" caption="Loan_ID" attribute="1" defaultMemberUniqueName="[loan_data_set].[Loan_ID].[All]" allUniqueName="[loan_data_set].[Loan_ID].[All]" dimensionUniqueName="[loan_data_set]" displayFolder="" count="0" memberValueDatatype="130" unbalanced="0"/>
    <cacheHierarchy uniqueName="[loan_data_set].[Gender]" caption="Gender" attribute="1" defaultMemberUniqueName="[loan_data_set].[Gender].[All]" allUniqueName="[loan_data_set].[Gender].[All]" dimensionUniqueName="[loan_data_set]" displayFolder="" count="0" memberValueDatatype="130" unbalanced="0"/>
    <cacheHierarchy uniqueName="[loan_data_set].[Married]" caption="Married" attribute="1" defaultMemberUniqueName="[loan_data_set].[Married].[All]" allUniqueName="[loan_data_set].[Married].[All]" dimensionUniqueName="[loan_data_set]" displayFolder="" count="0" memberValueDatatype="130" unbalanced="0"/>
    <cacheHierarchy uniqueName="[loan_data_set].[Dependents]" caption="Dependents" attribute="1" defaultMemberUniqueName="[loan_data_set].[Dependents].[All]" allUniqueName="[loan_data_set].[Dependents].[All]" dimensionUniqueName="[loan_data_set]" displayFolder="" count="0" memberValueDatatype="20" unbalanced="0"/>
    <cacheHierarchy uniqueName="[loan_data_set].[Education]" caption="Education" attribute="1" defaultMemberUniqueName="[loan_data_set].[Education].[All]" allUniqueName="[loan_data_set].[Education].[All]" dimensionUniqueName="[loan_data_set]" displayFolder="" count="0" memberValueDatatype="130" unbalanced="0"/>
    <cacheHierarchy uniqueName="[loan_data_set].[Self_Employed]" caption="Self_Employed" attribute="1" defaultMemberUniqueName="[loan_data_set].[Self_Employed].[All]" allUniqueName="[loan_data_set].[Self_Employed].[All]" dimensionUniqueName="[loan_data_set]" displayFolder="" count="0" memberValueDatatype="130" unbalanced="0"/>
    <cacheHierarchy uniqueName="[loan_data_set].[ApplicantIncome]" caption="ApplicantIncome" attribute="1" defaultMemberUniqueName="[loan_data_set].[ApplicantIncome].[All]" allUniqueName="[loan_data_set].[ApplicantIncome].[All]" dimensionUniqueName="[loan_data_set]" displayFolder="" count="0" memberValueDatatype="20" unbalanced="0"/>
    <cacheHierarchy uniqueName="[loan_data_set].[CoapplicantIncome]" caption="CoapplicantIncome" attribute="1" defaultMemberUniqueName="[loan_data_set].[CoapplicantIncome].[All]" allUniqueName="[loan_data_set].[CoapplicantIncome].[All]" dimensionUniqueName="[loan_data_set]" displayFolder="" count="0" memberValueDatatype="20" unbalanced="0"/>
    <cacheHierarchy uniqueName="[loan_data_set].[LoanAmount]" caption="LoanAmount" attribute="1" defaultMemberUniqueName="[loan_data_set].[LoanAmount].[All]" allUniqueName="[loan_data_set].[LoanAmount].[All]" dimensionUniqueName="[loan_data_set]" displayFolder="" count="0" memberValueDatatype="20" unbalanced="0"/>
    <cacheHierarchy uniqueName="[loan_data_set].[Loan_Amount_Term]" caption="Loan_Amount_Term" attribute="1" defaultMemberUniqueName="[loan_data_set].[Loan_Amount_Term].[All]" allUniqueName="[loan_data_set].[Loan_Amount_Term].[All]" dimensionUniqueName="[loan_data_set]" displayFolder="" count="0" memberValueDatatype="20" unbalanced="0"/>
    <cacheHierarchy uniqueName="[loan_data_set].[Credit_History]" caption="Credit_History" attribute="1" defaultMemberUniqueName="[loan_data_set].[Credit_History].[All]" allUniqueName="[loan_data_set].[Credit_History].[All]" dimensionUniqueName="[loan_data_set]" displayFolder="" count="0" memberValueDatatype="20" unbalanced="0"/>
    <cacheHierarchy uniqueName="[loan_data_set].[Property_Area]" caption="Property_Area" attribute="1" defaultMemberUniqueName="[loan_data_set].[Property_Area].[All]" allUniqueName="[loan_data_set].[Property_Area].[All]" dimensionUniqueName="[loan_data_set]" displayFolder="" count="0" memberValueDatatype="130" unbalanced="0"/>
    <cacheHierarchy uniqueName="[loan_data_set].[Loan_Status]" caption="Loan_Status" attribute="1" defaultMemberUniqueName="[loan_data_set].[Loan_Status].[All]" allUniqueName="[loan_data_set].[Loan_Status].[All]" dimensionUniqueName="[loan_data_set]" displayFolder="" count="0" memberValueDatatype="130" unbalanced="0"/>
    <cacheHierarchy uniqueName="[loan_data_set].[Date]" caption="Date" attribute="1" time="1" defaultMemberUniqueName="[loan_data_set].[Date].[All]" allUniqueName="[loan_data_set].[Date].[All]" dimensionUniqueName="[loan_data_set]" displayFolder="" count="0" memberValueDatatype="7" unbalanced="0"/>
    <cacheHierarchy uniqueName="[loan_data_set  2].[Loan_ID]" caption="Loan_ID" attribute="1" defaultMemberUniqueName="[loan_data_set  2].[Loan_ID].[All]" allUniqueName="[loan_data_set  2].[Loan_ID].[All]" dimensionUniqueName="[loan_data_set  2]" displayFolder="" count="0" memberValueDatatype="130" unbalanced="0"/>
    <cacheHierarchy uniqueName="[loan_data_set  2].[Gender]" caption="Gender" attribute="1" defaultMemberUniqueName="[loan_data_set  2].[Gender].[All]" allUniqueName="[loan_data_set  2].[Gender].[All]" dimensionUniqueName="[loan_data_set  2]" displayFolder="" count="0" memberValueDatatype="130" unbalanced="0"/>
    <cacheHierarchy uniqueName="[loan_data_set  2].[Married]" caption="Married" attribute="1" defaultMemberUniqueName="[loan_data_set  2].[Married].[All]" allUniqueName="[loan_data_set  2].[Married].[All]" dimensionUniqueName="[loan_data_set  2]" displayFolder="" count="0" memberValueDatatype="130" unbalanced="0"/>
    <cacheHierarchy uniqueName="[loan_data_set  2].[Dependents]" caption="Dependents" attribute="1" defaultMemberUniqueName="[loan_data_set  2].[Dependents].[All]" allUniqueName="[loan_data_set  2].[Dependents].[All]" dimensionUniqueName="[loan_data_set  2]" displayFolder="" count="0" memberValueDatatype="20" unbalanced="0"/>
    <cacheHierarchy uniqueName="[loan_data_set  2].[Education]" caption="Education" attribute="1" defaultMemberUniqueName="[loan_data_set  2].[Education].[All]" allUniqueName="[loan_data_set  2].[Education].[All]" dimensionUniqueName="[loan_data_set  2]" displayFolder="" count="0" memberValueDatatype="130" unbalanced="0"/>
    <cacheHierarchy uniqueName="[loan_data_set  2].[Self_Employed]" caption="Self_Employed" attribute="1" defaultMemberUniqueName="[loan_data_set  2].[Self_Employed].[All]" allUniqueName="[loan_data_set  2].[Self_Employed].[All]" dimensionUniqueName="[loan_data_set  2]" displayFolder="" count="0" memberValueDatatype="130" unbalanced="0"/>
    <cacheHierarchy uniqueName="[loan_data_set  2].[InterstZone]" caption="InterstZone" defaultMemberUniqueName="[loan_data_set  2].[InterstZone].[All]" allUniqueName="[loan_data_set  2].[InterstZone].[All]" dimensionUniqueName="[loan_data_set  2]" displayFolder="" count="4" unbalanced="0">
      <fieldsUsage count="4">
        <fieldUsage x="-1"/>
        <fieldUsage x="0"/>
        <fieldUsage x="1"/>
        <fieldUsage x="2"/>
      </fieldsUsage>
    </cacheHierarchy>
    <cacheHierarchy uniqueName="[loan_data_set  2].[ApplicantIncome]" caption="ApplicantIncome" attribute="1" defaultMemberUniqueName="[loan_data_set  2].[ApplicantIncome].[All]" allUniqueName="[loan_data_set  2].[ApplicantIncome].[All]" dimensionUniqueName="[loan_data_set  2]" displayFolder="" count="0" memberValueDatatype="20" unbalanced="0"/>
    <cacheHierarchy uniqueName="[loan_data_set  2].[CoapplicantIncome]" caption="CoapplicantIncome" attribute="1" defaultMemberUniqueName="[loan_data_set  2].[CoapplicantIncome].[All]" allUniqueName="[loan_data_set  2].[CoapplicantIncome].[All]" dimensionUniqueName="[loan_data_set  2]" displayFolder="" count="0" memberValueDatatype="20" unbalanced="0"/>
    <cacheHierarchy uniqueName="[loan_data_set  2].[LoanAmount]" caption="LoanAmount" attribute="1" defaultMemberUniqueName="[loan_data_set  2].[LoanAmount].[All]" allUniqueName="[loan_data_set  2].[LoanAmount].[All]" dimensionUniqueName="[loan_data_set  2]" displayFolder="" count="0" memberValueDatatype="20" unbalanced="0"/>
    <cacheHierarchy uniqueName="[loan_data_set  2].[Loan_Amount_Term]" caption="Loan_Amount_Term" attribute="1" defaultMemberUniqueName="[loan_data_set  2].[Loan_Amount_Term].[All]" allUniqueName="[loan_data_set  2].[Loan_Amount_Term].[All]" dimensionUniqueName="[loan_data_set  2]" displayFolder="" count="0" memberValueDatatype="20" unbalanced="0"/>
    <cacheHierarchy uniqueName="[loan_data_set  2].[Credit_History]" caption="Credit_History" attribute="1" defaultMemberUniqueName="[loan_data_set  2].[Credit_History].[All]" allUniqueName="[loan_data_set  2].[Credit_History].[All]" dimensionUniqueName="[loan_data_set  2]" displayFolder="" count="0" memberValueDatatype="20" unbalanced="0"/>
    <cacheHierarchy uniqueName="[loan_data_set  2].[Property_Area]" caption="Property_Area" attribute="1" defaultMemberUniqueName="[loan_data_set  2].[Property_Area].[All]" allUniqueName="[loan_data_set  2].[Property_Area].[All]" dimensionUniqueName="[loan_data_set  2]" displayFolder="" count="0" memberValueDatatype="130" unbalanced="0"/>
    <cacheHierarchy uniqueName="[loan_data_set  2].[Loan_Status]" caption="Loan_Status" attribute="1" defaultMemberUniqueName="[loan_data_set  2].[Loan_Status].[All]" allUniqueName="[loan_data_set  2].[Loan_Status].[All]" dimensionUniqueName="[loan_data_set  2]" displayFolder="" count="0" memberValueDatatype="130" unbalanced="0"/>
    <cacheHierarchy uniqueName="[loan_data_set  2].[sumLoanAMT]" caption="sumLoanAMT" attribute="1" defaultMemberUniqueName="[loan_data_set  2].[sumLoanAMT].[All]" allUniqueName="[loan_data_set  2].[sumLoanAMT].[All]" dimensionUniqueName="[loan_data_set  2]" displayFolder="" count="0" memberValueDatatype="20" unbalanced="0"/>
    <cacheHierarchy uniqueName="[View].[View]" caption="View" attribute="1" defaultMemberUniqueName="[View].[View].[All]" allUniqueName="[View].[View].[All]" dimensionUniqueName="[View]" displayFolder="" count="0" memberValueDatatype="130" unbalanced="0"/>
    <cacheHierarchy uniqueName="[Measures].[Loan Interest]" caption="Loan Interest" measure="1" displayFolder="" measureGroup="loan_data_set  2" count="0"/>
    <cacheHierarchy uniqueName="[Measures].[Average income]" caption="Average income" measure="1" displayFolder="" measureGroup="loan_data_set  2" count="0"/>
    <cacheHierarchy uniqueName="[Measures].[__XL_Count loan_data_set  2]" caption="__XL_Count loan_data_set  2" measure="1" displayFolder="" measureGroup="loan_data_set  2" count="0" hidden="1"/>
    <cacheHierarchy uniqueName="[Measures].[__XL_Count Table1]" caption="__XL_Count Table1" measure="1" displayFolder="" measureGroup="View" count="0" hidden="1"/>
    <cacheHierarchy uniqueName="[Measures].[__XL_Count loan_data_set]" caption="__XL_Count loan_data_set" measure="1" displayFolder="" measureGroup="loan_data_set" count="0" hidden="1"/>
    <cacheHierarchy uniqueName="[Measures].[__XL_Count of Models]" caption="__XL_Count of Models" measure="1" displayFolder="" count="0" hidden="1"/>
    <cacheHierarchy uniqueName="[Measures].[_Average income Goal]" caption="_Average income Goal" measure="1" displayFolder="" measureGroup="loan_data_set  2" count="0" hidden="1"/>
    <cacheHierarchy uniqueName="[Measures].[_Average income Status]" caption="_Average income Status" measure="1" displayFolder="" measureGroup="loan_data_set  2" count="0" hidden="1"/>
    <cacheHierarchy uniqueName="[Measures].[Sum of LoanAmount]" caption="Sum of LoanAmount" measure="1" displayFolder="" measureGroup="loan_data_set  2"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ApplicantIncome]" caption="Sum of ApplicantIncome" measure="1" displayFolder="" measureGroup="loan_data_set  2" count="0" hidden="1">
      <extLst>
        <ext xmlns:x15="http://schemas.microsoft.com/office/spreadsheetml/2010/11/main" uri="{B97F6D7D-B522-45F9-BDA1-12C45D357490}">
          <x15:cacheHierarchy aggregatedColumn="21"/>
        </ext>
      </extLst>
    </cacheHierarchy>
    <cacheHierarchy uniqueName="[Measures].[Sum of Loan_Amount_Term]" caption="Sum of Loan_Amount_Term" measure="1" displayFolder="" measureGroup="loan_data_set  2" count="0" hidden="1">
      <extLst>
        <ext xmlns:x15="http://schemas.microsoft.com/office/spreadsheetml/2010/11/main" uri="{B97F6D7D-B522-45F9-BDA1-12C45D357490}">
          <x15:cacheHierarchy aggregatedColumn="24"/>
        </ext>
      </extLst>
    </cacheHierarchy>
    <cacheHierarchy uniqueName="[Measures].[Sum of Credit_History]" caption="Sum of Credit_History" measure="1" displayFolder="" measureGroup="loan_data_set  2" count="0" hidden="1">
      <extLst>
        <ext xmlns:x15="http://schemas.microsoft.com/office/spreadsheetml/2010/11/main" uri="{B97F6D7D-B522-45F9-BDA1-12C45D357490}">
          <x15:cacheHierarchy aggregatedColumn="25"/>
        </ext>
      </extLst>
    </cacheHierarchy>
    <cacheHierarchy uniqueName="[Measures].[Count of Credit_History]" caption="Count of Credit_History" measure="1" displayFolder="" measureGroup="loan_data_set  2" count="0" hidden="1">
      <extLst>
        <ext xmlns:x15="http://schemas.microsoft.com/office/spreadsheetml/2010/11/main" uri="{B97F6D7D-B522-45F9-BDA1-12C45D357490}">
          <x15:cacheHierarchy aggregatedColumn="25"/>
        </ext>
      </extLst>
    </cacheHierarchy>
    <cacheHierarchy uniqueName="[Measures].[Sum of sumLoanAMT]" caption="Sum of sumLoanAMT" measure="1" displayFolder="" measureGroup="loan_data_set  2" count="0" hidden="1">
      <extLst>
        <ext xmlns:x15="http://schemas.microsoft.com/office/spreadsheetml/2010/11/main" uri="{B97F6D7D-B522-45F9-BDA1-12C45D357490}">
          <x15:cacheHierarchy aggregatedColumn="28"/>
        </ext>
      </extLst>
    </cacheHierarchy>
    <cacheHierarchy uniqueName="[Measures].[Count of LoanAmount]" caption="Count of LoanAmount" measure="1" displayFolder="" measureGroup="loan_data_set  2" count="0" hidden="1">
      <extLst>
        <ext xmlns:x15="http://schemas.microsoft.com/office/spreadsheetml/2010/11/main" uri="{B97F6D7D-B522-45F9-BDA1-12C45D357490}">
          <x15:cacheHierarchy aggregatedColumn="23"/>
        </ext>
      </extLst>
    </cacheHierarchy>
    <cacheHierarchy uniqueName="[Measures].[Max of LoanAmount]" caption="Max of LoanAmount" measure="1" displayFolder="" measureGroup="loan_data_set  2" count="0" hidden="1">
      <extLst>
        <ext xmlns:x15="http://schemas.microsoft.com/office/spreadsheetml/2010/11/main" uri="{B97F6D7D-B522-45F9-BDA1-12C45D357490}">
          <x15:cacheHierarchy aggregatedColumn="23"/>
        </ext>
      </extLst>
    </cacheHierarchy>
    <cacheHierarchy uniqueName="[Measures].[Average of ApplicantIncome]" caption="Average of ApplicantIncome" measure="1" displayFolder="" measureGroup="loan_data_set  2" count="0" hidden="1">
      <extLst>
        <ext xmlns:x15="http://schemas.microsoft.com/office/spreadsheetml/2010/11/main" uri="{B97F6D7D-B522-45F9-BDA1-12C45D357490}">
          <x15:cacheHierarchy aggregatedColumn="21"/>
        </ext>
      </extLst>
    </cacheHierarchy>
    <cacheHierarchy uniqueName="[Measures].[Average of Loan_Amount_Term]" caption="Average of Loan_Amount_Term" measure="1" displayFolder="" measureGroup="loan_data_set  2" count="0" hidden="1">
      <extLst>
        <ext xmlns:x15="http://schemas.microsoft.com/office/spreadsheetml/2010/11/main" uri="{B97F6D7D-B522-45F9-BDA1-12C45D357490}">
          <x15:cacheHierarchy aggregatedColumn="24"/>
        </ext>
      </extLst>
    </cacheHierarchy>
    <cacheHierarchy uniqueName="[Measures].[Average of LoanAmount]" caption="Average of LoanAmount" measure="1" displayFolder="" measureGroup="loan_data_set  2" count="0" hidden="1">
      <extLst>
        <ext xmlns:x15="http://schemas.microsoft.com/office/spreadsheetml/2010/11/main" uri="{B97F6D7D-B522-45F9-BDA1-12C45D357490}">
          <x15:cacheHierarchy aggregatedColumn="23"/>
        </ext>
      </extLst>
    </cacheHierarchy>
    <cacheHierarchy uniqueName="[Measures].[Count of Property_Area]" caption="Count of Property_Area" measure="1" displayFolder="" measureGroup="loan_data_set  2" count="0" hidden="1">
      <extLst>
        <ext xmlns:x15="http://schemas.microsoft.com/office/spreadsheetml/2010/11/main" uri="{B97F6D7D-B522-45F9-BDA1-12C45D357490}">
          <x15:cacheHierarchy aggregatedColumn="26"/>
        </ext>
      </extLst>
    </cacheHierarchy>
    <cacheHierarchy uniqueName="[Measures].[Sum of LoanAmount 2]" caption="Sum of LoanAmount 2" measure="1" displayFolder="" measureGroup="loan_data_set" count="0" hidden="1">
      <extLst>
        <ext xmlns:x15="http://schemas.microsoft.com/office/spreadsheetml/2010/11/main" uri="{B97F6D7D-B522-45F9-BDA1-12C45D357490}">
          <x15:cacheHierarchy aggregatedColumn="8"/>
        </ext>
      </extLst>
    </cacheHierarchy>
    <cacheHierarchy uniqueName="[Measures].[Average of LoanAmount 2]" caption="Average of LoanAmount 2" measure="1" displayFolder="" measureGroup="loan_data_set" count="0" hidden="1">
      <extLst>
        <ext xmlns:x15="http://schemas.microsoft.com/office/spreadsheetml/2010/11/main" uri="{B97F6D7D-B522-45F9-BDA1-12C45D357490}">
          <x15:cacheHierarchy aggregatedColumn="8"/>
        </ext>
      </extLst>
    </cacheHierarchy>
  </cacheHierarchies>
  <kpis count="1">
    <kpi uniqueName="Average income" caption="Average income" displayFolder="" measureGroup="loan_data_set  2" parent="" value="[Measures].[Average income]" goal="[Measures].[_Average income Goal]" status="[Measures].[_Average income Status]" trend="" weight=""/>
  </kpis>
  <dimensions count="4">
    <dimension name="loan_data_set" uniqueName="[loan_data_set]" caption="loan_data_set"/>
    <dimension name="loan_data_set  2" uniqueName="[loan_data_set  2]" caption="loan_data_set  2"/>
    <dimension measure="1" name="Measures" uniqueName="[Measures]" caption="Measures"/>
    <dimension name="View" uniqueName="[View]" caption="View"/>
  </dimensions>
  <measureGroups count="3">
    <measureGroup name="loan_data_set" caption="loan_data_set"/>
    <measureGroup name="loan_data_set  2" caption="loan_data_set  2"/>
    <measureGroup name="View" caption="View"/>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4552.659744328703" createdVersion="5" refreshedVersion="7" minRefreshableVersion="3" recordCount="0" supportSubquery="1" supportAdvancedDrill="1" xr:uid="{83AA3A01-1361-4200-9035-004FC2B4F339}">
  <cacheSource type="external" connectionId="4">
    <extLst>
      <ext xmlns:x14="http://schemas.microsoft.com/office/spreadsheetml/2009/9/main" uri="{F057638F-6D5F-4e77-A914-E7F072B9BCA8}">
        <x14:sourceConnection name="ThisWorkbookDataModel"/>
      </ext>
    </extLst>
  </cacheSource>
  <cacheFields count="4">
    <cacheField name="[loan_data_set  2].[InterstZone].[Property_Area]" caption="Property_Area" numFmtId="0" hierarchy="20" level="1">
      <sharedItems count="1">
        <s v="Semiurban"/>
      </sharedItems>
      <extLst>
        <ext xmlns:x15="http://schemas.microsoft.com/office/spreadsheetml/2010/11/main" uri="{4F2E5C28-24EA-4eb8-9CBF-B6C8F9C3D259}">
          <x15:cachedUniqueNames>
            <x15:cachedUniqueName index="0" name="[loan_data_set  2].[InterstZone].[Property_Area].&amp;[Semiurban]"/>
          </x15:cachedUniqueNames>
        </ext>
      </extLst>
    </cacheField>
    <cacheField name="[loan_data_set  2].[InterstZone].[Education]" caption="Education" numFmtId="0" hierarchy="20" level="2">
      <sharedItems count="1">
        <s v="Not Graduate"/>
      </sharedItems>
      <extLst>
        <ext xmlns:x15="http://schemas.microsoft.com/office/spreadsheetml/2010/11/main" uri="{4F2E5C28-24EA-4eb8-9CBF-B6C8F9C3D259}">
          <x15:cachedUniqueNames>
            <x15:cachedUniqueName index="0" name="[loan_data_set  2].[InterstZone].[Property_Area].&amp;[Semiurban].&amp;[Not Graduate]"/>
          </x15:cachedUniqueNames>
        </ext>
      </extLst>
    </cacheField>
    <cacheField name="[loan_data_set  2].[InterstZone].[Gender]" caption="Gender" numFmtId="0" hierarchy="20" level="3">
      <sharedItems count="2">
        <s v="Female"/>
        <s v="Male"/>
      </sharedItems>
      <extLst>
        <ext xmlns:x15="http://schemas.microsoft.com/office/spreadsheetml/2010/11/main" uri="{4F2E5C28-24EA-4eb8-9CBF-B6C8F9C3D259}">
          <x15:cachedUniqueNames>
            <x15:cachedUniqueName index="0" name="[loan_data_set  2].[InterstZone].[Property_Area].&amp;[Semiurban].&amp;[Not Graduate].&amp;[Female]"/>
            <x15:cachedUniqueName index="1" name="[loan_data_set  2].[InterstZone].[Property_Area].&amp;[Semiurban].&amp;[Not Graduate].&amp;[Male]"/>
          </x15:cachedUniqueNames>
        </ext>
      </extLst>
    </cacheField>
    <cacheField name="[Measures].[Average of LoanAmount 2]" caption="Average of LoanAmount 2" numFmtId="0" hierarchy="51" level="32767"/>
  </cacheFields>
  <cacheHierarchies count="52">
    <cacheHierarchy uniqueName="[loan_data_set].[Loan_ID]" caption="Loan_ID" attribute="1" defaultMemberUniqueName="[loan_data_set].[Loan_ID].[All]" allUniqueName="[loan_data_set].[Loan_ID].[All]" dimensionUniqueName="[loan_data_set]" displayFolder="" count="0" memberValueDatatype="130" unbalanced="0"/>
    <cacheHierarchy uniqueName="[loan_data_set].[Gender]" caption="Gender" attribute="1" defaultMemberUniqueName="[loan_data_set].[Gender].[All]" allUniqueName="[loan_data_set].[Gender].[All]" dimensionUniqueName="[loan_data_set]" displayFolder="" count="0" memberValueDatatype="130" unbalanced="0"/>
    <cacheHierarchy uniqueName="[loan_data_set].[Married]" caption="Married" attribute="1" defaultMemberUniqueName="[loan_data_set].[Married].[All]" allUniqueName="[loan_data_set].[Married].[All]" dimensionUniqueName="[loan_data_set]" displayFolder="" count="0" memberValueDatatype="130" unbalanced="0"/>
    <cacheHierarchy uniqueName="[loan_data_set].[Dependents]" caption="Dependents" attribute="1" defaultMemberUniqueName="[loan_data_set].[Dependents].[All]" allUniqueName="[loan_data_set].[Dependents].[All]" dimensionUniqueName="[loan_data_set]" displayFolder="" count="0" memberValueDatatype="20" unbalanced="0"/>
    <cacheHierarchy uniqueName="[loan_data_set].[Education]" caption="Education" attribute="1" defaultMemberUniqueName="[loan_data_set].[Education].[All]" allUniqueName="[loan_data_set].[Education].[All]" dimensionUniqueName="[loan_data_set]" displayFolder="" count="0" memberValueDatatype="130" unbalanced="0"/>
    <cacheHierarchy uniqueName="[loan_data_set].[Self_Employed]" caption="Self_Employed" attribute="1" defaultMemberUniqueName="[loan_data_set].[Self_Employed].[All]" allUniqueName="[loan_data_set].[Self_Employed].[All]" dimensionUniqueName="[loan_data_set]" displayFolder="" count="0" memberValueDatatype="130" unbalanced="0"/>
    <cacheHierarchy uniqueName="[loan_data_set].[ApplicantIncome]" caption="ApplicantIncome" attribute="1" defaultMemberUniqueName="[loan_data_set].[ApplicantIncome].[All]" allUniqueName="[loan_data_set].[ApplicantIncome].[All]" dimensionUniqueName="[loan_data_set]" displayFolder="" count="0" memberValueDatatype="20" unbalanced="0"/>
    <cacheHierarchy uniqueName="[loan_data_set].[CoapplicantIncome]" caption="CoapplicantIncome" attribute="1" defaultMemberUniqueName="[loan_data_set].[CoapplicantIncome].[All]" allUniqueName="[loan_data_set].[CoapplicantIncome].[All]" dimensionUniqueName="[loan_data_set]" displayFolder="" count="0" memberValueDatatype="20" unbalanced="0"/>
    <cacheHierarchy uniqueName="[loan_data_set].[LoanAmount]" caption="LoanAmount" attribute="1" defaultMemberUniqueName="[loan_data_set].[LoanAmount].[All]" allUniqueName="[loan_data_set].[LoanAmount].[All]" dimensionUniqueName="[loan_data_set]" displayFolder="" count="0" memberValueDatatype="20" unbalanced="0"/>
    <cacheHierarchy uniqueName="[loan_data_set].[Loan_Amount_Term]" caption="Loan_Amount_Term" attribute="1" defaultMemberUniqueName="[loan_data_set].[Loan_Amount_Term].[All]" allUniqueName="[loan_data_set].[Loan_Amount_Term].[All]" dimensionUniqueName="[loan_data_set]" displayFolder="" count="0" memberValueDatatype="20" unbalanced="0"/>
    <cacheHierarchy uniqueName="[loan_data_set].[Credit_History]" caption="Credit_History" attribute="1" defaultMemberUniqueName="[loan_data_set].[Credit_History].[All]" allUniqueName="[loan_data_set].[Credit_History].[All]" dimensionUniqueName="[loan_data_set]" displayFolder="" count="0" memberValueDatatype="20" unbalanced="0"/>
    <cacheHierarchy uniqueName="[loan_data_set].[Property_Area]" caption="Property_Area" attribute="1" defaultMemberUniqueName="[loan_data_set].[Property_Area].[All]" allUniqueName="[loan_data_set].[Property_Area].[All]" dimensionUniqueName="[loan_data_set]" displayFolder="" count="0" memberValueDatatype="130" unbalanced="0"/>
    <cacheHierarchy uniqueName="[loan_data_set].[Loan_Status]" caption="Loan_Status" attribute="1" defaultMemberUniqueName="[loan_data_set].[Loan_Status].[All]" allUniqueName="[loan_data_set].[Loan_Status].[All]" dimensionUniqueName="[loan_data_set]" displayFolder="" count="0" memberValueDatatype="130" unbalanced="0"/>
    <cacheHierarchy uniqueName="[loan_data_set].[Date]" caption="Date" attribute="1" time="1" defaultMemberUniqueName="[loan_data_set].[Date].[All]" allUniqueName="[loan_data_set].[Date].[All]" dimensionUniqueName="[loan_data_set]" displayFolder="" count="0" memberValueDatatype="7" unbalanced="0"/>
    <cacheHierarchy uniqueName="[loan_data_set  2].[Loan_ID]" caption="Loan_ID" attribute="1" defaultMemberUniqueName="[loan_data_set  2].[Loan_ID].[All]" allUniqueName="[loan_data_set  2].[Loan_ID].[All]" dimensionUniqueName="[loan_data_set  2]" displayFolder="" count="0" memberValueDatatype="130" unbalanced="0"/>
    <cacheHierarchy uniqueName="[loan_data_set  2].[Gender]" caption="Gender" attribute="1" defaultMemberUniqueName="[loan_data_set  2].[Gender].[All]" allUniqueName="[loan_data_set  2].[Gender].[All]" dimensionUniqueName="[loan_data_set  2]" displayFolder="" count="0" memberValueDatatype="130" unbalanced="0"/>
    <cacheHierarchy uniqueName="[loan_data_set  2].[Married]" caption="Married" attribute="1" defaultMemberUniqueName="[loan_data_set  2].[Married].[All]" allUniqueName="[loan_data_set  2].[Married].[All]" dimensionUniqueName="[loan_data_set  2]" displayFolder="" count="0" memberValueDatatype="130" unbalanced="0"/>
    <cacheHierarchy uniqueName="[loan_data_set  2].[Dependents]" caption="Dependents" attribute="1" defaultMemberUniqueName="[loan_data_set  2].[Dependents].[All]" allUniqueName="[loan_data_set  2].[Dependents].[All]" dimensionUniqueName="[loan_data_set  2]" displayFolder="" count="0" memberValueDatatype="20" unbalanced="0"/>
    <cacheHierarchy uniqueName="[loan_data_set  2].[Education]" caption="Education" attribute="1" defaultMemberUniqueName="[loan_data_set  2].[Education].[All]" allUniqueName="[loan_data_set  2].[Education].[All]" dimensionUniqueName="[loan_data_set  2]" displayFolder="" count="0" memberValueDatatype="130" unbalanced="0"/>
    <cacheHierarchy uniqueName="[loan_data_set  2].[Self_Employed]" caption="Self_Employed" attribute="1" defaultMemberUniqueName="[loan_data_set  2].[Self_Employed].[All]" allUniqueName="[loan_data_set  2].[Self_Employed].[All]" dimensionUniqueName="[loan_data_set  2]" displayFolder="" count="0" memberValueDatatype="130" unbalanced="0"/>
    <cacheHierarchy uniqueName="[loan_data_set  2].[InterstZone]" caption="InterstZone" defaultMemberUniqueName="[loan_data_set  2].[InterstZone].[All]" allUniqueName="[loan_data_set  2].[InterstZone].[All]" dimensionUniqueName="[loan_data_set  2]" displayFolder="" count="4" unbalanced="0">
      <fieldsUsage count="4">
        <fieldUsage x="-1"/>
        <fieldUsage x="0"/>
        <fieldUsage x="1"/>
        <fieldUsage x="2"/>
      </fieldsUsage>
    </cacheHierarchy>
    <cacheHierarchy uniqueName="[loan_data_set  2].[ApplicantIncome]" caption="ApplicantIncome" attribute="1" defaultMemberUniqueName="[loan_data_set  2].[ApplicantIncome].[All]" allUniqueName="[loan_data_set  2].[ApplicantIncome].[All]" dimensionUniqueName="[loan_data_set  2]" displayFolder="" count="0" memberValueDatatype="20" unbalanced="0"/>
    <cacheHierarchy uniqueName="[loan_data_set  2].[CoapplicantIncome]" caption="CoapplicantIncome" attribute="1" defaultMemberUniqueName="[loan_data_set  2].[CoapplicantIncome].[All]" allUniqueName="[loan_data_set  2].[CoapplicantIncome].[All]" dimensionUniqueName="[loan_data_set  2]" displayFolder="" count="0" memberValueDatatype="20" unbalanced="0"/>
    <cacheHierarchy uniqueName="[loan_data_set  2].[LoanAmount]" caption="LoanAmount" attribute="1" defaultMemberUniqueName="[loan_data_set  2].[LoanAmount].[All]" allUniqueName="[loan_data_set  2].[LoanAmount].[All]" dimensionUniqueName="[loan_data_set  2]" displayFolder="" count="0" memberValueDatatype="20" unbalanced="0"/>
    <cacheHierarchy uniqueName="[loan_data_set  2].[Loan_Amount_Term]" caption="Loan_Amount_Term" attribute="1" defaultMemberUniqueName="[loan_data_set  2].[Loan_Amount_Term].[All]" allUniqueName="[loan_data_set  2].[Loan_Amount_Term].[All]" dimensionUniqueName="[loan_data_set  2]" displayFolder="" count="0" memberValueDatatype="20" unbalanced="0"/>
    <cacheHierarchy uniqueName="[loan_data_set  2].[Credit_History]" caption="Credit_History" attribute="1" defaultMemberUniqueName="[loan_data_set  2].[Credit_History].[All]" allUniqueName="[loan_data_set  2].[Credit_History].[All]" dimensionUniqueName="[loan_data_set  2]" displayFolder="" count="0" memberValueDatatype="20" unbalanced="0"/>
    <cacheHierarchy uniqueName="[loan_data_set  2].[Property_Area]" caption="Property_Area" attribute="1" defaultMemberUniqueName="[loan_data_set  2].[Property_Area].[All]" allUniqueName="[loan_data_set  2].[Property_Area].[All]" dimensionUniqueName="[loan_data_set  2]" displayFolder="" count="0" memberValueDatatype="130" unbalanced="0"/>
    <cacheHierarchy uniqueName="[loan_data_set  2].[Loan_Status]" caption="Loan_Status" attribute="1" defaultMemberUniqueName="[loan_data_set  2].[Loan_Status].[All]" allUniqueName="[loan_data_set  2].[Loan_Status].[All]" dimensionUniqueName="[loan_data_set  2]" displayFolder="" count="0" memberValueDatatype="130" unbalanced="0"/>
    <cacheHierarchy uniqueName="[loan_data_set  2].[sumLoanAMT]" caption="sumLoanAMT" attribute="1" defaultMemberUniqueName="[loan_data_set  2].[sumLoanAMT].[All]" allUniqueName="[loan_data_set  2].[sumLoanAMT].[All]" dimensionUniqueName="[loan_data_set  2]" displayFolder="" count="0" memberValueDatatype="20" unbalanced="0"/>
    <cacheHierarchy uniqueName="[View].[View]" caption="View" attribute="1" defaultMemberUniqueName="[View].[View].[All]" allUniqueName="[View].[View].[All]" dimensionUniqueName="[View]" displayFolder="" count="0" memberValueDatatype="130" unbalanced="0"/>
    <cacheHierarchy uniqueName="[Measures].[Loan Interest]" caption="Loan Interest" measure="1" displayFolder="" measureGroup="loan_data_set  2" count="0"/>
    <cacheHierarchy uniqueName="[Measures].[Average income]" caption="Average income" measure="1" displayFolder="" measureGroup="loan_data_set  2" count="0"/>
    <cacheHierarchy uniqueName="[Measures].[__XL_Count loan_data_set  2]" caption="__XL_Count loan_data_set  2" measure="1" displayFolder="" measureGroup="loan_data_set  2" count="0" hidden="1"/>
    <cacheHierarchy uniqueName="[Measures].[__XL_Count Table1]" caption="__XL_Count Table1" measure="1" displayFolder="" measureGroup="View" count="0" hidden="1"/>
    <cacheHierarchy uniqueName="[Measures].[__XL_Count loan_data_set]" caption="__XL_Count loan_data_set" measure="1" displayFolder="" measureGroup="loan_data_set" count="0" hidden="1"/>
    <cacheHierarchy uniqueName="[Measures].[__XL_Count of Models]" caption="__XL_Count of Models" measure="1" displayFolder="" count="0" hidden="1"/>
    <cacheHierarchy uniqueName="[Measures].[_Average income Goal]" caption="_Average income Goal" measure="1" displayFolder="" measureGroup="loan_data_set  2" count="0" hidden="1"/>
    <cacheHierarchy uniqueName="[Measures].[_Average income Status]" caption="_Average income Status" measure="1" displayFolder="" measureGroup="loan_data_set  2" count="0" hidden="1"/>
    <cacheHierarchy uniqueName="[Measures].[Sum of LoanAmount]" caption="Sum of LoanAmount" measure="1" displayFolder="" measureGroup="loan_data_set  2" count="0" hidden="1">
      <extLst>
        <ext xmlns:x15="http://schemas.microsoft.com/office/spreadsheetml/2010/11/main" uri="{B97F6D7D-B522-45F9-BDA1-12C45D357490}">
          <x15:cacheHierarchy aggregatedColumn="23"/>
        </ext>
      </extLst>
    </cacheHierarchy>
    <cacheHierarchy uniqueName="[Measures].[Sum of ApplicantIncome]" caption="Sum of ApplicantIncome" measure="1" displayFolder="" measureGroup="loan_data_set  2" count="0" hidden="1">
      <extLst>
        <ext xmlns:x15="http://schemas.microsoft.com/office/spreadsheetml/2010/11/main" uri="{B97F6D7D-B522-45F9-BDA1-12C45D357490}">
          <x15:cacheHierarchy aggregatedColumn="21"/>
        </ext>
      </extLst>
    </cacheHierarchy>
    <cacheHierarchy uniqueName="[Measures].[Sum of Loan_Amount_Term]" caption="Sum of Loan_Amount_Term" measure="1" displayFolder="" measureGroup="loan_data_set  2" count="0" hidden="1">
      <extLst>
        <ext xmlns:x15="http://schemas.microsoft.com/office/spreadsheetml/2010/11/main" uri="{B97F6D7D-B522-45F9-BDA1-12C45D357490}">
          <x15:cacheHierarchy aggregatedColumn="24"/>
        </ext>
      </extLst>
    </cacheHierarchy>
    <cacheHierarchy uniqueName="[Measures].[Sum of Credit_History]" caption="Sum of Credit_History" measure="1" displayFolder="" measureGroup="loan_data_set  2" count="0" hidden="1">
      <extLst>
        <ext xmlns:x15="http://schemas.microsoft.com/office/spreadsheetml/2010/11/main" uri="{B97F6D7D-B522-45F9-BDA1-12C45D357490}">
          <x15:cacheHierarchy aggregatedColumn="25"/>
        </ext>
      </extLst>
    </cacheHierarchy>
    <cacheHierarchy uniqueName="[Measures].[Count of Credit_History]" caption="Count of Credit_History" measure="1" displayFolder="" measureGroup="loan_data_set  2" count="0" hidden="1">
      <extLst>
        <ext xmlns:x15="http://schemas.microsoft.com/office/spreadsheetml/2010/11/main" uri="{B97F6D7D-B522-45F9-BDA1-12C45D357490}">
          <x15:cacheHierarchy aggregatedColumn="25"/>
        </ext>
      </extLst>
    </cacheHierarchy>
    <cacheHierarchy uniqueName="[Measures].[Sum of sumLoanAMT]" caption="Sum of sumLoanAMT" measure="1" displayFolder="" measureGroup="loan_data_set  2" count="0" hidden="1">
      <extLst>
        <ext xmlns:x15="http://schemas.microsoft.com/office/spreadsheetml/2010/11/main" uri="{B97F6D7D-B522-45F9-BDA1-12C45D357490}">
          <x15:cacheHierarchy aggregatedColumn="28"/>
        </ext>
      </extLst>
    </cacheHierarchy>
    <cacheHierarchy uniqueName="[Measures].[Count of LoanAmount]" caption="Count of LoanAmount" measure="1" displayFolder="" measureGroup="loan_data_set  2" count="0" hidden="1">
      <extLst>
        <ext xmlns:x15="http://schemas.microsoft.com/office/spreadsheetml/2010/11/main" uri="{B97F6D7D-B522-45F9-BDA1-12C45D357490}">
          <x15:cacheHierarchy aggregatedColumn="23"/>
        </ext>
      </extLst>
    </cacheHierarchy>
    <cacheHierarchy uniqueName="[Measures].[Max of LoanAmount]" caption="Max of LoanAmount" measure="1" displayFolder="" measureGroup="loan_data_set  2" count="0" hidden="1">
      <extLst>
        <ext xmlns:x15="http://schemas.microsoft.com/office/spreadsheetml/2010/11/main" uri="{B97F6D7D-B522-45F9-BDA1-12C45D357490}">
          <x15:cacheHierarchy aggregatedColumn="23"/>
        </ext>
      </extLst>
    </cacheHierarchy>
    <cacheHierarchy uniqueName="[Measures].[Average of ApplicantIncome]" caption="Average of ApplicantIncome" measure="1" displayFolder="" measureGroup="loan_data_set  2" count="0" hidden="1">
      <extLst>
        <ext xmlns:x15="http://schemas.microsoft.com/office/spreadsheetml/2010/11/main" uri="{B97F6D7D-B522-45F9-BDA1-12C45D357490}">
          <x15:cacheHierarchy aggregatedColumn="21"/>
        </ext>
      </extLst>
    </cacheHierarchy>
    <cacheHierarchy uniqueName="[Measures].[Average of Loan_Amount_Term]" caption="Average of Loan_Amount_Term" measure="1" displayFolder="" measureGroup="loan_data_set  2" count="0" hidden="1">
      <extLst>
        <ext xmlns:x15="http://schemas.microsoft.com/office/spreadsheetml/2010/11/main" uri="{B97F6D7D-B522-45F9-BDA1-12C45D357490}">
          <x15:cacheHierarchy aggregatedColumn="24"/>
        </ext>
      </extLst>
    </cacheHierarchy>
    <cacheHierarchy uniqueName="[Measures].[Average of LoanAmount]" caption="Average of LoanAmount" measure="1" displayFolder="" measureGroup="loan_data_set  2" count="0" hidden="1">
      <extLst>
        <ext xmlns:x15="http://schemas.microsoft.com/office/spreadsheetml/2010/11/main" uri="{B97F6D7D-B522-45F9-BDA1-12C45D357490}">
          <x15:cacheHierarchy aggregatedColumn="23"/>
        </ext>
      </extLst>
    </cacheHierarchy>
    <cacheHierarchy uniqueName="[Measures].[Count of Property_Area]" caption="Count of Property_Area" measure="1" displayFolder="" measureGroup="loan_data_set  2" count="0" hidden="1">
      <extLst>
        <ext xmlns:x15="http://schemas.microsoft.com/office/spreadsheetml/2010/11/main" uri="{B97F6D7D-B522-45F9-BDA1-12C45D357490}">
          <x15:cacheHierarchy aggregatedColumn="26"/>
        </ext>
      </extLst>
    </cacheHierarchy>
    <cacheHierarchy uniqueName="[Measures].[Sum of LoanAmount 2]" caption="Sum of LoanAmount 2" measure="1" displayFolder="" measureGroup="loan_data_set" count="0" hidden="1">
      <extLst>
        <ext xmlns:x15="http://schemas.microsoft.com/office/spreadsheetml/2010/11/main" uri="{B97F6D7D-B522-45F9-BDA1-12C45D357490}">
          <x15:cacheHierarchy aggregatedColumn="8"/>
        </ext>
      </extLst>
    </cacheHierarchy>
    <cacheHierarchy uniqueName="[Measures].[Average of LoanAmount 2]" caption="Average of LoanAmount 2" measure="1" displayFolder="" measureGroup="loan_data_set" count="0" oneField="1" hidden="1">
      <fieldsUsage count="1">
        <fieldUsage x="3"/>
      </fieldsUsage>
      <extLst>
        <ext xmlns:x15="http://schemas.microsoft.com/office/spreadsheetml/2010/11/main" uri="{B97F6D7D-B522-45F9-BDA1-12C45D357490}">
          <x15:cacheHierarchy aggregatedColumn="8"/>
        </ext>
      </extLst>
    </cacheHierarchy>
  </cacheHierarchies>
  <kpis count="1">
    <kpi uniqueName="Average income" caption="Average income" displayFolder="" measureGroup="loan_data_set  2" parent="" value="[Measures].[Average income]" goal="[Measures].[_Average income Goal]" status="[Measures].[_Average income Status]" trend="" weight=""/>
  </kpis>
  <dimensions count="4">
    <dimension name="loan_data_set" uniqueName="[loan_data_set]" caption="loan_data_set"/>
    <dimension name="loan_data_set  2" uniqueName="[loan_data_set  2]" caption="loan_data_set  2"/>
    <dimension measure="1" name="Measures" uniqueName="[Measures]" caption="Measures"/>
    <dimension name="View" uniqueName="[View]" caption="View"/>
  </dimensions>
  <measureGroups count="3">
    <measureGroup name="loan_data_set" caption="loan_data_set"/>
    <measureGroup name="loan_data_set  2" caption="loan_data_set  2"/>
    <measureGroup name="View" caption="View"/>
  </measureGroups>
  <maps count="3">
    <map measureGroup="0" dimension="0"/>
    <map measureGroup="1" dimension="1"/>
    <map measureGroup="2" dimension="3"/>
  </maps>
  <extLst>
    <ext xmlns:x14="http://schemas.microsoft.com/office/spreadsheetml/2009/9/main" uri="{725AE2AE-9491-48be-B2B4-4EB974FC3084}">
      <x14:pivotCacheDefinition pivotCacheId="8770731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4">
  <r>
    <x v="0"/>
    <x v="0"/>
    <s v="No"/>
    <n v="0"/>
    <x v="0"/>
    <x v="0"/>
    <n v="5849"/>
    <n v="0"/>
    <m/>
    <n v="360"/>
    <n v="1"/>
    <x v="0"/>
    <s v="Y"/>
  </r>
  <r>
    <x v="1"/>
    <x v="0"/>
    <s v="Yes"/>
    <n v="1"/>
    <x v="0"/>
    <x v="0"/>
    <n v="4583"/>
    <n v="1508"/>
    <n v="1280"/>
    <n v="360"/>
    <n v="1"/>
    <x v="1"/>
    <s v="N"/>
  </r>
  <r>
    <x v="2"/>
    <x v="0"/>
    <s v="Yes"/>
    <n v="0"/>
    <x v="0"/>
    <x v="1"/>
    <n v="3000"/>
    <n v="0"/>
    <n v="660"/>
    <n v="360"/>
    <n v="1"/>
    <x v="0"/>
    <s v="Y"/>
  </r>
  <r>
    <x v="3"/>
    <x v="0"/>
    <s v="Yes"/>
    <n v="0"/>
    <x v="1"/>
    <x v="0"/>
    <n v="2583"/>
    <n v="2358"/>
    <n v="120"/>
    <n v="360"/>
    <n v="1"/>
    <x v="0"/>
    <s v="Y"/>
  </r>
  <r>
    <x v="4"/>
    <x v="0"/>
    <s v="No"/>
    <n v="0"/>
    <x v="0"/>
    <x v="0"/>
    <n v="6000"/>
    <n v="0"/>
    <n v="141"/>
    <n v="360"/>
    <n v="1"/>
    <x v="0"/>
    <s v="Y"/>
  </r>
  <r>
    <x v="5"/>
    <x v="0"/>
    <s v="Yes"/>
    <n v="2"/>
    <x v="0"/>
    <x v="1"/>
    <n v="5417"/>
    <n v="4196"/>
    <n v="267"/>
    <n v="360"/>
    <n v="1"/>
    <x v="0"/>
    <s v="Y"/>
  </r>
  <r>
    <x v="6"/>
    <x v="0"/>
    <s v="Yes"/>
    <n v="0"/>
    <x v="1"/>
    <x v="0"/>
    <n v="2333"/>
    <n v="1516"/>
    <n v="95"/>
    <n v="360"/>
    <n v="1"/>
    <x v="0"/>
    <s v="Y"/>
  </r>
  <r>
    <x v="7"/>
    <x v="0"/>
    <s v="Yes"/>
    <n v="3"/>
    <x v="0"/>
    <x v="0"/>
    <n v="3036"/>
    <n v="2504"/>
    <n v="158"/>
    <n v="360"/>
    <n v="0"/>
    <x v="2"/>
    <s v="N"/>
  </r>
  <r>
    <x v="8"/>
    <x v="0"/>
    <s v="Yes"/>
    <n v="2"/>
    <x v="0"/>
    <x v="0"/>
    <n v="4006"/>
    <n v="1526"/>
    <n v="168"/>
    <n v="360"/>
    <n v="1"/>
    <x v="0"/>
    <s v="Y"/>
  </r>
  <r>
    <x v="9"/>
    <x v="0"/>
    <s v="Yes"/>
    <n v="1"/>
    <x v="0"/>
    <x v="0"/>
    <n v="12841"/>
    <n v="10968"/>
    <n v="349"/>
    <n v="360"/>
    <n v="1"/>
    <x v="2"/>
    <s v="N"/>
  </r>
  <r>
    <x v="10"/>
    <x v="0"/>
    <s v="Yes"/>
    <n v="2"/>
    <x v="0"/>
    <x v="0"/>
    <n v="3200"/>
    <n v="700"/>
    <n v="70"/>
    <n v="360"/>
    <n v="1"/>
    <x v="0"/>
    <s v="Y"/>
  </r>
  <r>
    <x v="11"/>
    <x v="0"/>
    <s v="Yes"/>
    <n v="2"/>
    <x v="0"/>
    <x v="2"/>
    <n v="2500"/>
    <n v="1840"/>
    <n v="109"/>
    <n v="360"/>
    <n v="1"/>
    <x v="0"/>
    <s v="Y"/>
  </r>
  <r>
    <x v="12"/>
    <x v="0"/>
    <s v="Yes"/>
    <n v="2"/>
    <x v="0"/>
    <x v="0"/>
    <n v="3073"/>
    <n v="8106"/>
    <n v="200"/>
    <n v="360"/>
    <n v="1"/>
    <x v="0"/>
    <s v="Y"/>
  </r>
  <r>
    <x v="13"/>
    <x v="0"/>
    <s v="No"/>
    <n v="0"/>
    <x v="0"/>
    <x v="0"/>
    <n v="1853"/>
    <n v="2840"/>
    <n v="114"/>
    <n v="360"/>
    <n v="1"/>
    <x v="1"/>
    <s v="N"/>
  </r>
  <r>
    <x v="14"/>
    <x v="0"/>
    <s v="Yes"/>
    <n v="2"/>
    <x v="0"/>
    <x v="0"/>
    <n v="1299"/>
    <n v="1086"/>
    <n v="17"/>
    <n v="120"/>
    <n v="1"/>
    <x v="0"/>
    <s v="Y"/>
  </r>
  <r>
    <x v="15"/>
    <x v="0"/>
    <s v="No"/>
    <n v="0"/>
    <x v="0"/>
    <x v="0"/>
    <n v="4950"/>
    <n v="0"/>
    <n v="12500"/>
    <n v="360"/>
    <n v="1"/>
    <x v="0"/>
    <s v="Y"/>
  </r>
  <r>
    <x v="16"/>
    <x v="0"/>
    <s v="No"/>
    <n v="1"/>
    <x v="1"/>
    <x v="0"/>
    <n v="3596"/>
    <n v="0"/>
    <n v="100"/>
    <n v="240"/>
    <m/>
    <x v="0"/>
    <s v="Y"/>
  </r>
  <r>
    <x v="17"/>
    <x v="1"/>
    <s v="No"/>
    <n v="0"/>
    <x v="0"/>
    <x v="0"/>
    <n v="3510"/>
    <n v="0"/>
    <n v="76"/>
    <n v="360"/>
    <n v="0"/>
    <x v="0"/>
    <s v="N"/>
  </r>
  <r>
    <x v="18"/>
    <x v="0"/>
    <s v="Yes"/>
    <n v="0"/>
    <x v="1"/>
    <x v="0"/>
    <n v="4887"/>
    <n v="0"/>
    <n v="133"/>
    <n v="360"/>
    <n v="1"/>
    <x v="1"/>
    <s v="N"/>
  </r>
  <r>
    <x v="19"/>
    <x v="0"/>
    <s v="Yes"/>
    <n v="0"/>
    <x v="0"/>
    <x v="2"/>
    <n v="2600"/>
    <n v="3500"/>
    <n v="115"/>
    <m/>
    <n v="1"/>
    <x v="0"/>
    <s v="Y"/>
  </r>
  <r>
    <x v="20"/>
    <x v="0"/>
    <s v="Yes"/>
    <n v="0"/>
    <x v="1"/>
    <x v="0"/>
    <n v="7660"/>
    <n v="0"/>
    <n v="104"/>
    <n v="360"/>
    <n v="0"/>
    <x v="0"/>
    <s v="N"/>
  </r>
  <r>
    <x v="21"/>
    <x v="0"/>
    <s v="Yes"/>
    <n v="1"/>
    <x v="0"/>
    <x v="0"/>
    <n v="5955"/>
    <n v="5625"/>
    <n v="315"/>
    <n v="360"/>
    <n v="1"/>
    <x v="0"/>
    <s v="Y"/>
  </r>
  <r>
    <x v="22"/>
    <x v="0"/>
    <s v="Yes"/>
    <n v="0"/>
    <x v="1"/>
    <x v="0"/>
    <n v="2600"/>
    <n v="1911"/>
    <n v="116"/>
    <n v="360"/>
    <n v="0"/>
    <x v="2"/>
    <s v="N"/>
  </r>
  <r>
    <x v="23"/>
    <x v="2"/>
    <s v="Yes"/>
    <n v="2"/>
    <x v="1"/>
    <x v="0"/>
    <n v="3365"/>
    <n v="1917"/>
    <n v="112"/>
    <n v="360"/>
    <n v="0"/>
    <x v="1"/>
    <s v="N"/>
  </r>
  <r>
    <x v="24"/>
    <x v="0"/>
    <s v="Yes"/>
    <n v="1"/>
    <x v="0"/>
    <x v="2"/>
    <n v="3717"/>
    <n v="2925"/>
    <n v="151"/>
    <n v="360"/>
    <m/>
    <x v="2"/>
    <s v="N"/>
  </r>
  <r>
    <x v="25"/>
    <x v="0"/>
    <s v="Yes"/>
    <n v="0"/>
    <x v="0"/>
    <x v="1"/>
    <n v="9560"/>
    <n v="0"/>
    <n v="191"/>
    <n v="360"/>
    <n v="1"/>
    <x v="2"/>
    <s v="Y"/>
  </r>
  <r>
    <x v="26"/>
    <x v="0"/>
    <s v="Yes"/>
    <n v="0"/>
    <x v="0"/>
    <x v="0"/>
    <n v="2799"/>
    <n v="2253"/>
    <n v="122"/>
    <n v="360"/>
    <n v="1"/>
    <x v="2"/>
    <s v="Y"/>
  </r>
  <r>
    <x v="27"/>
    <x v="0"/>
    <s v="Yes"/>
    <n v="2"/>
    <x v="1"/>
    <x v="0"/>
    <n v="4226"/>
    <n v="1040"/>
    <n v="110"/>
    <n v="360"/>
    <n v="1"/>
    <x v="0"/>
    <s v="Y"/>
  </r>
  <r>
    <x v="28"/>
    <x v="0"/>
    <s v="No"/>
    <n v="0"/>
    <x v="1"/>
    <x v="0"/>
    <n v="1442"/>
    <n v="0"/>
    <n v="35"/>
    <n v="360"/>
    <n v="1"/>
    <x v="0"/>
    <s v="N"/>
  </r>
  <r>
    <x v="29"/>
    <x v="1"/>
    <s v="No"/>
    <n v="2"/>
    <x v="0"/>
    <x v="2"/>
    <n v="3750"/>
    <n v="2083"/>
    <n v="120"/>
    <n v="360"/>
    <n v="1"/>
    <x v="2"/>
    <s v="Y"/>
  </r>
  <r>
    <x v="30"/>
    <x v="0"/>
    <s v="Yes"/>
    <n v="1"/>
    <x v="0"/>
    <x v="2"/>
    <n v="4166"/>
    <n v="3369"/>
    <n v="201"/>
    <n v="360"/>
    <m/>
    <x v="0"/>
    <s v="N"/>
  </r>
  <r>
    <x v="31"/>
    <x v="0"/>
    <s v="No"/>
    <n v="0"/>
    <x v="0"/>
    <x v="0"/>
    <n v="3167"/>
    <n v="0"/>
    <n v="74"/>
    <n v="360"/>
    <n v="1"/>
    <x v="0"/>
    <s v="N"/>
  </r>
  <r>
    <x v="32"/>
    <x v="0"/>
    <s v="No"/>
    <n v="1"/>
    <x v="0"/>
    <x v="1"/>
    <n v="4692"/>
    <n v="0"/>
    <n v="106"/>
    <n v="360"/>
    <n v="1"/>
    <x v="1"/>
    <s v="N"/>
  </r>
  <r>
    <x v="33"/>
    <x v="0"/>
    <s v="Yes"/>
    <n v="0"/>
    <x v="0"/>
    <x v="0"/>
    <n v="3500"/>
    <n v="1667"/>
    <n v="114"/>
    <n v="360"/>
    <n v="1"/>
    <x v="2"/>
    <s v="Y"/>
  </r>
  <r>
    <x v="34"/>
    <x v="0"/>
    <s v="No"/>
    <n v="3"/>
    <x v="0"/>
    <x v="0"/>
    <n v="12500"/>
    <n v="3000"/>
    <n v="32000"/>
    <n v="360"/>
    <n v="1"/>
    <x v="1"/>
    <s v="N"/>
  </r>
  <r>
    <x v="35"/>
    <x v="0"/>
    <s v="Yes"/>
    <n v="0"/>
    <x v="0"/>
    <x v="0"/>
    <n v="2275"/>
    <n v="2067"/>
    <m/>
    <n v="360"/>
    <n v="1"/>
    <x v="0"/>
    <s v="Y"/>
  </r>
  <r>
    <x v="36"/>
    <x v="0"/>
    <s v="Yes"/>
    <n v="0"/>
    <x v="0"/>
    <x v="0"/>
    <n v="1828"/>
    <n v="1330"/>
    <n v="100"/>
    <m/>
    <n v="0"/>
    <x v="0"/>
    <s v="N"/>
  </r>
  <r>
    <x v="37"/>
    <x v="1"/>
    <s v="Yes"/>
    <n v="0"/>
    <x v="0"/>
    <x v="0"/>
    <n v="3667"/>
    <n v="1459"/>
    <n v="144"/>
    <n v="360"/>
    <n v="1"/>
    <x v="2"/>
    <s v="Y"/>
  </r>
  <r>
    <x v="38"/>
    <x v="0"/>
    <s v="No"/>
    <n v="0"/>
    <x v="0"/>
    <x v="0"/>
    <n v="4166"/>
    <n v="7210"/>
    <n v="184"/>
    <n v="360"/>
    <n v="1"/>
    <x v="0"/>
    <s v="Y"/>
  </r>
  <r>
    <x v="39"/>
    <x v="0"/>
    <s v="No"/>
    <n v="0"/>
    <x v="1"/>
    <x v="0"/>
    <n v="3748"/>
    <n v="1668"/>
    <n v="110"/>
    <n v="360"/>
    <n v="1"/>
    <x v="2"/>
    <s v="Y"/>
  </r>
  <r>
    <x v="40"/>
    <x v="0"/>
    <s v="No"/>
    <n v="0"/>
    <x v="0"/>
    <x v="0"/>
    <n v="3600"/>
    <n v="0"/>
    <n v="80"/>
    <n v="360"/>
    <n v="1"/>
    <x v="0"/>
    <s v="N"/>
  </r>
  <r>
    <x v="41"/>
    <x v="0"/>
    <s v="No"/>
    <n v="0"/>
    <x v="0"/>
    <x v="0"/>
    <n v="1800"/>
    <n v="1213"/>
    <n v="470"/>
    <n v="360"/>
    <n v="1"/>
    <x v="0"/>
    <s v="Y"/>
  </r>
  <r>
    <x v="42"/>
    <x v="0"/>
    <s v="Yes"/>
    <n v="0"/>
    <x v="0"/>
    <x v="0"/>
    <n v="2400"/>
    <n v="0"/>
    <n v="75"/>
    <n v="360"/>
    <m/>
    <x v="0"/>
    <s v="Y"/>
  </r>
  <r>
    <x v="43"/>
    <x v="0"/>
    <s v="Yes"/>
    <n v="0"/>
    <x v="0"/>
    <x v="0"/>
    <n v="3941"/>
    <n v="2336"/>
    <n v="134"/>
    <n v="360"/>
    <n v="1"/>
    <x v="2"/>
    <s v="Y"/>
  </r>
  <r>
    <x v="44"/>
    <x v="0"/>
    <s v="Yes"/>
    <n v="0"/>
    <x v="1"/>
    <x v="1"/>
    <n v="4695"/>
    <n v="0"/>
    <n v="96"/>
    <m/>
    <n v="1"/>
    <x v="0"/>
    <s v="Y"/>
  </r>
  <r>
    <x v="45"/>
    <x v="1"/>
    <s v="No"/>
    <n v="0"/>
    <x v="0"/>
    <x v="0"/>
    <n v="3410"/>
    <n v="0"/>
    <n v="88"/>
    <m/>
    <n v="1"/>
    <x v="0"/>
    <s v="Y"/>
  </r>
  <r>
    <x v="46"/>
    <x v="0"/>
    <s v="Yes"/>
    <n v="1"/>
    <x v="0"/>
    <x v="0"/>
    <n v="5649"/>
    <n v="0"/>
    <n v="44"/>
    <n v="360"/>
    <n v="1"/>
    <x v="0"/>
    <s v="Y"/>
  </r>
  <r>
    <x v="47"/>
    <x v="0"/>
    <s v="Yes"/>
    <n v="0"/>
    <x v="0"/>
    <x v="0"/>
    <n v="5821"/>
    <n v="0"/>
    <n v="144"/>
    <n v="360"/>
    <n v="1"/>
    <x v="0"/>
    <s v="Y"/>
  </r>
  <r>
    <x v="48"/>
    <x v="1"/>
    <s v="Yes"/>
    <n v="0"/>
    <x v="0"/>
    <x v="0"/>
    <n v="2645"/>
    <n v="3440"/>
    <n v="120"/>
    <n v="360"/>
    <n v="0"/>
    <x v="0"/>
    <s v="N"/>
  </r>
  <r>
    <x v="49"/>
    <x v="1"/>
    <s v="No"/>
    <n v="0"/>
    <x v="0"/>
    <x v="0"/>
    <n v="4000"/>
    <n v="2275"/>
    <n v="144"/>
    <n v="360"/>
    <n v="1"/>
    <x v="2"/>
    <s v="Y"/>
  </r>
  <r>
    <x v="50"/>
    <x v="1"/>
    <s v="Yes"/>
    <n v="0"/>
    <x v="1"/>
    <x v="0"/>
    <n v="1928"/>
    <n v="1644"/>
    <n v="100"/>
    <n v="360"/>
    <n v="1"/>
    <x v="2"/>
    <s v="Y"/>
  </r>
  <r>
    <x v="51"/>
    <x v="1"/>
    <s v="No"/>
    <n v="0"/>
    <x v="0"/>
    <x v="0"/>
    <n v="3086"/>
    <n v="0"/>
    <n v="120"/>
    <n v="360"/>
    <n v="1"/>
    <x v="2"/>
    <s v="Y"/>
  </r>
  <r>
    <x v="52"/>
    <x v="1"/>
    <s v="No"/>
    <n v="0"/>
    <x v="0"/>
    <x v="0"/>
    <n v="4230"/>
    <n v="0"/>
    <n v="112"/>
    <n v="360"/>
    <n v="1"/>
    <x v="2"/>
    <s v="N"/>
  </r>
  <r>
    <x v="53"/>
    <x v="0"/>
    <s v="Yes"/>
    <n v="2"/>
    <x v="0"/>
    <x v="0"/>
    <n v="4616"/>
    <n v="0"/>
    <n v="134"/>
    <n v="360"/>
    <n v="1"/>
    <x v="0"/>
    <s v="N"/>
  </r>
  <r>
    <x v="54"/>
    <x v="1"/>
    <s v="Yes"/>
    <n v="1"/>
    <x v="0"/>
    <x v="1"/>
    <n v="11500"/>
    <n v="0"/>
    <n v="2860"/>
    <n v="360"/>
    <n v="0"/>
    <x v="0"/>
    <s v="N"/>
  </r>
  <r>
    <x v="55"/>
    <x v="0"/>
    <s v="Yes"/>
    <n v="2"/>
    <x v="0"/>
    <x v="0"/>
    <n v="2708"/>
    <n v="1167"/>
    <n v="97"/>
    <n v="360"/>
    <n v="1"/>
    <x v="2"/>
    <s v="Y"/>
  </r>
  <r>
    <x v="56"/>
    <x v="0"/>
    <s v="Yes"/>
    <n v="0"/>
    <x v="0"/>
    <x v="0"/>
    <n v="2132"/>
    <n v="1591"/>
    <n v="96"/>
    <n v="360"/>
    <n v="1"/>
    <x v="2"/>
    <s v="Y"/>
  </r>
  <r>
    <x v="57"/>
    <x v="0"/>
    <s v="Yes"/>
    <n v="0"/>
    <x v="0"/>
    <x v="0"/>
    <n v="3366"/>
    <n v="2200"/>
    <n v="135"/>
    <n v="360"/>
    <n v="1"/>
    <x v="1"/>
    <s v="N"/>
  </r>
  <r>
    <x v="58"/>
    <x v="0"/>
    <s v="Yes"/>
    <n v="1"/>
    <x v="0"/>
    <x v="0"/>
    <n v="8080"/>
    <n v="2250"/>
    <n v="180"/>
    <n v="360"/>
    <n v="1"/>
    <x v="0"/>
    <s v="Y"/>
  </r>
  <r>
    <x v="59"/>
    <x v="0"/>
    <s v="Yes"/>
    <n v="2"/>
    <x v="1"/>
    <x v="0"/>
    <n v="3357"/>
    <n v="2859"/>
    <n v="144"/>
    <n v="360"/>
    <n v="1"/>
    <x v="0"/>
    <s v="Y"/>
  </r>
  <r>
    <x v="60"/>
    <x v="0"/>
    <s v="Yes"/>
    <n v="0"/>
    <x v="0"/>
    <x v="0"/>
    <n v="2500"/>
    <n v="3796"/>
    <n v="120"/>
    <n v="360"/>
    <n v="1"/>
    <x v="0"/>
    <s v="Y"/>
  </r>
  <r>
    <x v="61"/>
    <x v="0"/>
    <s v="Yes"/>
    <n v="3"/>
    <x v="0"/>
    <x v="0"/>
    <n v="3029"/>
    <n v="0"/>
    <n v="99"/>
    <n v="360"/>
    <n v="1"/>
    <x v="0"/>
    <s v="Y"/>
  </r>
  <r>
    <x v="62"/>
    <x v="0"/>
    <s v="Yes"/>
    <n v="0"/>
    <x v="1"/>
    <x v="1"/>
    <n v="2609"/>
    <n v="3449"/>
    <n v="165"/>
    <n v="180"/>
    <n v="0"/>
    <x v="1"/>
    <s v="N"/>
  </r>
  <r>
    <x v="63"/>
    <x v="0"/>
    <s v="Yes"/>
    <n v="1"/>
    <x v="0"/>
    <x v="0"/>
    <n v="4945"/>
    <n v="0"/>
    <m/>
    <n v="360"/>
    <n v="0"/>
    <x v="1"/>
    <s v="N"/>
  </r>
  <r>
    <x v="64"/>
    <x v="1"/>
    <s v="No"/>
    <n v="0"/>
    <x v="0"/>
    <x v="0"/>
    <n v="4166"/>
    <n v="0"/>
    <n v="116"/>
    <n v="360"/>
    <n v="0"/>
    <x v="2"/>
    <s v="N"/>
  </r>
  <r>
    <x v="65"/>
    <x v="0"/>
    <s v="Yes"/>
    <n v="0"/>
    <x v="0"/>
    <x v="0"/>
    <n v="5726"/>
    <n v="4595"/>
    <n v="258"/>
    <n v="360"/>
    <n v="1"/>
    <x v="2"/>
    <s v="N"/>
  </r>
  <r>
    <x v="66"/>
    <x v="0"/>
    <s v="No"/>
    <n v="0"/>
    <x v="1"/>
    <x v="0"/>
    <n v="3200"/>
    <n v="2254"/>
    <n v="126"/>
    <n v="180"/>
    <n v="0"/>
    <x v="0"/>
    <s v="N"/>
  </r>
  <r>
    <x v="67"/>
    <x v="0"/>
    <s v="Yes"/>
    <n v="1"/>
    <x v="0"/>
    <x v="0"/>
    <n v="10750"/>
    <n v="0"/>
    <n v="31200"/>
    <n v="360"/>
    <n v="1"/>
    <x v="0"/>
    <s v="Y"/>
  </r>
  <r>
    <x v="68"/>
    <x v="0"/>
    <s v="Yes"/>
    <n v="3"/>
    <x v="1"/>
    <x v="1"/>
    <n v="7100"/>
    <n v="0"/>
    <n v="125"/>
    <n v="60"/>
    <n v="1"/>
    <x v="0"/>
    <s v="Y"/>
  </r>
  <r>
    <x v="69"/>
    <x v="1"/>
    <s v="No"/>
    <n v="0"/>
    <x v="0"/>
    <x v="0"/>
    <n v="4300"/>
    <n v="0"/>
    <n v="136"/>
    <n v="360"/>
    <n v="0"/>
    <x v="2"/>
    <s v="N"/>
  </r>
  <r>
    <x v="70"/>
    <x v="0"/>
    <s v="Yes"/>
    <n v="0"/>
    <x v="0"/>
    <x v="0"/>
    <n v="3208"/>
    <n v="3066"/>
    <n v="172"/>
    <n v="360"/>
    <n v="1"/>
    <x v="0"/>
    <s v="Y"/>
  </r>
  <r>
    <x v="71"/>
    <x v="0"/>
    <s v="Yes"/>
    <n v="2"/>
    <x v="1"/>
    <x v="1"/>
    <n v="1875"/>
    <n v="1875"/>
    <n v="97"/>
    <n v="360"/>
    <n v="1"/>
    <x v="2"/>
    <s v="Y"/>
  </r>
  <r>
    <x v="72"/>
    <x v="0"/>
    <s v="No"/>
    <n v="0"/>
    <x v="0"/>
    <x v="0"/>
    <n v="3500"/>
    <n v="0"/>
    <n v="81"/>
    <n v="300"/>
    <n v="1"/>
    <x v="2"/>
    <s v="Y"/>
  </r>
  <r>
    <x v="73"/>
    <x v="0"/>
    <s v="Yes"/>
    <n v="3"/>
    <x v="1"/>
    <x v="0"/>
    <n v="4755"/>
    <n v="0"/>
    <n v="95"/>
    <m/>
    <n v="0"/>
    <x v="2"/>
    <s v="N"/>
  </r>
  <r>
    <x v="74"/>
    <x v="0"/>
    <s v="Yes"/>
    <n v="3"/>
    <x v="0"/>
    <x v="1"/>
    <n v="5266"/>
    <n v="1774"/>
    <n v="187"/>
    <n v="360"/>
    <n v="1"/>
    <x v="2"/>
    <s v="Y"/>
  </r>
  <r>
    <x v="75"/>
    <x v="0"/>
    <s v="No"/>
    <n v="0"/>
    <x v="0"/>
    <x v="0"/>
    <n v="3750"/>
    <n v="0"/>
    <n v="113"/>
    <n v="480"/>
    <n v="1"/>
    <x v="0"/>
    <s v="N"/>
  </r>
  <r>
    <x v="76"/>
    <x v="0"/>
    <s v="No"/>
    <n v="0"/>
    <x v="0"/>
    <x v="0"/>
    <n v="3750"/>
    <n v="4750"/>
    <n v="176"/>
    <n v="360"/>
    <n v="1"/>
    <x v="0"/>
    <s v="N"/>
  </r>
  <r>
    <x v="77"/>
    <x v="0"/>
    <s v="Yes"/>
    <n v="1"/>
    <x v="0"/>
    <x v="1"/>
    <n v="1000"/>
    <n v="3022"/>
    <n v="110000"/>
    <n v="360"/>
    <n v="1"/>
    <x v="0"/>
    <s v="N"/>
  </r>
  <r>
    <x v="78"/>
    <x v="0"/>
    <s v="Yes"/>
    <n v="3"/>
    <x v="0"/>
    <x v="0"/>
    <n v="3167"/>
    <n v="4000"/>
    <n v="180"/>
    <n v="300"/>
    <n v="0"/>
    <x v="2"/>
    <s v="N"/>
  </r>
  <r>
    <x v="79"/>
    <x v="0"/>
    <s v="Yes"/>
    <n v="3"/>
    <x v="1"/>
    <x v="1"/>
    <n v="3333"/>
    <n v="2166"/>
    <n v="130"/>
    <n v="360"/>
    <m/>
    <x v="2"/>
    <s v="Y"/>
  </r>
  <r>
    <x v="80"/>
    <x v="1"/>
    <s v="No"/>
    <n v="0"/>
    <x v="0"/>
    <x v="0"/>
    <n v="3846"/>
    <n v="0"/>
    <n v="111"/>
    <n v="360"/>
    <n v="1"/>
    <x v="2"/>
    <s v="Y"/>
  </r>
  <r>
    <x v="81"/>
    <x v="0"/>
    <s v="Yes"/>
    <n v="1"/>
    <x v="0"/>
    <x v="1"/>
    <n v="2395"/>
    <n v="0"/>
    <m/>
    <n v="360"/>
    <n v="1"/>
    <x v="2"/>
    <s v="Y"/>
  </r>
  <r>
    <x v="82"/>
    <x v="1"/>
    <s v="Yes"/>
    <n v="2"/>
    <x v="0"/>
    <x v="0"/>
    <n v="1378"/>
    <n v="1881"/>
    <n v="167"/>
    <n v="360"/>
    <n v="1"/>
    <x v="0"/>
    <s v="N"/>
  </r>
  <r>
    <x v="83"/>
    <x v="0"/>
    <s v="Yes"/>
    <n v="0"/>
    <x v="0"/>
    <x v="0"/>
    <n v="6000"/>
    <n v="2250"/>
    <n v="265"/>
    <n v="360"/>
    <m/>
    <x v="2"/>
    <s v="N"/>
  </r>
  <r>
    <x v="84"/>
    <x v="0"/>
    <s v="Yes"/>
    <n v="1"/>
    <x v="0"/>
    <x v="0"/>
    <n v="3988"/>
    <n v="0"/>
    <n v="50"/>
    <n v="240"/>
    <n v="1"/>
    <x v="0"/>
    <s v="Y"/>
  </r>
  <r>
    <x v="85"/>
    <x v="0"/>
    <s v="No"/>
    <n v="0"/>
    <x v="0"/>
    <x v="0"/>
    <n v="2366"/>
    <n v="2531"/>
    <n v="136"/>
    <n v="360"/>
    <n v="1"/>
    <x v="2"/>
    <s v="Y"/>
  </r>
  <r>
    <x v="86"/>
    <x v="0"/>
    <s v="Yes"/>
    <n v="2"/>
    <x v="1"/>
    <x v="0"/>
    <n v="3333"/>
    <n v="2000"/>
    <n v="99"/>
    <n v="360"/>
    <m/>
    <x v="2"/>
    <s v="Y"/>
  </r>
  <r>
    <x v="87"/>
    <x v="0"/>
    <s v="Yes"/>
    <n v="0"/>
    <x v="0"/>
    <x v="0"/>
    <n v="2500"/>
    <n v="2118"/>
    <n v="10400"/>
    <n v="360"/>
    <n v="1"/>
    <x v="2"/>
    <s v="Y"/>
  </r>
  <r>
    <x v="88"/>
    <x v="0"/>
    <s v="No"/>
    <n v="0"/>
    <x v="0"/>
    <x v="0"/>
    <n v="8566"/>
    <n v="0"/>
    <n v="210"/>
    <n v="360"/>
    <n v="1"/>
    <x v="0"/>
    <s v="Y"/>
  </r>
  <r>
    <x v="89"/>
    <x v="0"/>
    <s v="Yes"/>
    <n v="0"/>
    <x v="0"/>
    <x v="0"/>
    <n v="5695"/>
    <n v="4167"/>
    <n v="175"/>
    <n v="360"/>
    <n v="1"/>
    <x v="2"/>
    <s v="Y"/>
  </r>
  <r>
    <x v="90"/>
    <x v="0"/>
    <s v="Yes"/>
    <n v="0"/>
    <x v="0"/>
    <x v="0"/>
    <n v="2958"/>
    <n v="2900"/>
    <n v="131"/>
    <n v="360"/>
    <n v="1"/>
    <x v="2"/>
    <s v="Y"/>
  </r>
  <r>
    <x v="91"/>
    <x v="0"/>
    <s v="Yes"/>
    <n v="2"/>
    <x v="0"/>
    <x v="0"/>
    <n v="6250"/>
    <n v="5654"/>
    <n v="188"/>
    <n v="180"/>
    <n v="1"/>
    <x v="2"/>
    <s v="Y"/>
  </r>
  <r>
    <x v="92"/>
    <x v="0"/>
    <s v="Yes"/>
    <n v="2"/>
    <x v="1"/>
    <x v="0"/>
    <n v="3273"/>
    <n v="1820"/>
    <n v="81"/>
    <n v="360"/>
    <n v="1"/>
    <x v="0"/>
    <s v="Y"/>
  </r>
  <r>
    <x v="93"/>
    <x v="0"/>
    <s v="No"/>
    <n v="0"/>
    <x v="0"/>
    <x v="0"/>
    <n v="4133"/>
    <n v="0"/>
    <n v="12200"/>
    <n v="360"/>
    <n v="1"/>
    <x v="2"/>
    <s v="Y"/>
  </r>
  <r>
    <x v="94"/>
    <x v="0"/>
    <s v="No"/>
    <n v="0"/>
    <x v="1"/>
    <x v="0"/>
    <n v="3620"/>
    <n v="0"/>
    <n v="25"/>
    <n v="120"/>
    <n v="1"/>
    <x v="2"/>
    <s v="Y"/>
  </r>
  <r>
    <x v="95"/>
    <x v="0"/>
    <s v="No"/>
    <n v="0"/>
    <x v="0"/>
    <x v="2"/>
    <n v="6782"/>
    <n v="0"/>
    <m/>
    <n v="360"/>
    <m/>
    <x v="0"/>
    <s v="N"/>
  </r>
  <r>
    <x v="96"/>
    <x v="1"/>
    <s v="Yes"/>
    <n v="0"/>
    <x v="0"/>
    <x v="0"/>
    <n v="2484"/>
    <n v="2302"/>
    <n v="137"/>
    <n v="360"/>
    <n v="1"/>
    <x v="2"/>
    <s v="Y"/>
  </r>
  <r>
    <x v="97"/>
    <x v="0"/>
    <s v="Yes"/>
    <n v="0"/>
    <x v="0"/>
    <x v="0"/>
    <n v="1977"/>
    <n v="997"/>
    <n v="50"/>
    <n v="360"/>
    <n v="1"/>
    <x v="2"/>
    <s v="Y"/>
  </r>
  <r>
    <x v="98"/>
    <x v="0"/>
    <s v="Yes"/>
    <n v="0"/>
    <x v="1"/>
    <x v="0"/>
    <n v="4188"/>
    <n v="0"/>
    <n v="115"/>
    <n v="180"/>
    <n v="1"/>
    <x v="2"/>
    <s v="Y"/>
  </r>
  <r>
    <x v="99"/>
    <x v="0"/>
    <s v="Yes"/>
    <n v="0"/>
    <x v="0"/>
    <x v="0"/>
    <n v="1759"/>
    <n v="3541"/>
    <n v="131"/>
    <n v="360"/>
    <n v="1"/>
    <x v="2"/>
    <s v="Y"/>
  </r>
  <r>
    <x v="100"/>
    <x v="0"/>
    <s v="Yes"/>
    <n v="2"/>
    <x v="1"/>
    <x v="0"/>
    <n v="4288"/>
    <n v="3263"/>
    <n v="1330"/>
    <n v="180"/>
    <n v="1"/>
    <x v="0"/>
    <s v="Y"/>
  </r>
  <r>
    <x v="101"/>
    <x v="0"/>
    <s v="No"/>
    <n v="0"/>
    <x v="0"/>
    <x v="0"/>
    <n v="4843"/>
    <n v="3806"/>
    <n v="151"/>
    <n v="360"/>
    <n v="1"/>
    <x v="2"/>
    <s v="Y"/>
  </r>
  <r>
    <x v="102"/>
    <x v="0"/>
    <s v="Yes"/>
    <m/>
    <x v="0"/>
    <x v="0"/>
    <n v="13650"/>
    <n v="0"/>
    <m/>
    <n v="360"/>
    <n v="1"/>
    <x v="0"/>
    <s v="Y"/>
  </r>
  <r>
    <x v="103"/>
    <x v="0"/>
    <s v="Yes"/>
    <n v="0"/>
    <x v="0"/>
    <x v="0"/>
    <n v="4652"/>
    <n v="3583"/>
    <m/>
    <n v="360"/>
    <n v="1"/>
    <x v="2"/>
    <s v="Y"/>
  </r>
  <r>
    <x v="104"/>
    <x v="0"/>
    <s v=""/>
    <m/>
    <x v="0"/>
    <x v="0"/>
    <n v="3816"/>
    <n v="754"/>
    <n v="160"/>
    <n v="360"/>
    <n v="1"/>
    <x v="0"/>
    <s v="Y"/>
  </r>
  <r>
    <x v="105"/>
    <x v="0"/>
    <s v="Yes"/>
    <n v="1"/>
    <x v="0"/>
    <x v="0"/>
    <n v="3052"/>
    <n v="1030"/>
    <n v="100"/>
    <n v="360"/>
    <n v="1"/>
    <x v="0"/>
    <s v="Y"/>
  </r>
  <r>
    <x v="106"/>
    <x v="0"/>
    <s v="Yes"/>
    <n v="2"/>
    <x v="0"/>
    <x v="0"/>
    <n v="11417"/>
    <n v="1126"/>
    <n v="225"/>
    <n v="360"/>
    <n v="1"/>
    <x v="0"/>
    <s v="Y"/>
  </r>
  <r>
    <x v="107"/>
    <x v="0"/>
    <s v="No"/>
    <n v="0"/>
    <x v="1"/>
    <x v="2"/>
    <n v="7333"/>
    <n v="0"/>
    <n v="120"/>
    <n v="360"/>
    <n v="1"/>
    <x v="1"/>
    <s v="N"/>
  </r>
  <r>
    <x v="108"/>
    <x v="0"/>
    <s v="Yes"/>
    <n v="2"/>
    <x v="0"/>
    <x v="0"/>
    <n v="3800"/>
    <n v="3600"/>
    <n v="216"/>
    <n v="360"/>
    <n v="0"/>
    <x v="0"/>
    <s v="N"/>
  </r>
  <r>
    <x v="109"/>
    <x v="0"/>
    <s v="Yes"/>
    <n v="3"/>
    <x v="1"/>
    <x v="0"/>
    <n v="2071"/>
    <n v="754"/>
    <n v="94"/>
    <n v="480"/>
    <n v="1"/>
    <x v="2"/>
    <s v="Y"/>
  </r>
  <r>
    <x v="110"/>
    <x v="0"/>
    <s v="No"/>
    <n v="0"/>
    <x v="0"/>
    <x v="0"/>
    <n v="5316"/>
    <n v="0"/>
    <n v="136"/>
    <n v="360"/>
    <n v="1"/>
    <x v="0"/>
    <s v="Y"/>
  </r>
  <r>
    <x v="111"/>
    <x v="1"/>
    <s v="Yes"/>
    <n v="0"/>
    <x v="0"/>
    <x v="2"/>
    <n v="2929"/>
    <n v="2333"/>
    <n v="139"/>
    <n v="360"/>
    <n v="1"/>
    <x v="2"/>
    <s v="Y"/>
  </r>
  <r>
    <x v="112"/>
    <x v="0"/>
    <s v="Yes"/>
    <n v="0"/>
    <x v="1"/>
    <x v="0"/>
    <n v="3572"/>
    <n v="4114"/>
    <n v="152"/>
    <m/>
    <n v="0"/>
    <x v="1"/>
    <s v="N"/>
  </r>
  <r>
    <x v="113"/>
    <x v="1"/>
    <s v="No"/>
    <n v="1"/>
    <x v="0"/>
    <x v="1"/>
    <n v="7451"/>
    <n v="0"/>
    <m/>
    <n v="360"/>
    <n v="1"/>
    <x v="2"/>
    <s v="Y"/>
  </r>
  <r>
    <x v="114"/>
    <x v="0"/>
    <s v="No"/>
    <n v="0"/>
    <x v="0"/>
    <x v="2"/>
    <n v="5050"/>
    <n v="0"/>
    <n v="118"/>
    <n v="360"/>
    <n v="1"/>
    <x v="2"/>
    <s v="Y"/>
  </r>
  <r>
    <x v="115"/>
    <x v="0"/>
    <s v="Yes"/>
    <n v="1"/>
    <x v="0"/>
    <x v="0"/>
    <n v="14583"/>
    <n v="0"/>
    <n v="185"/>
    <n v="180"/>
    <n v="1"/>
    <x v="1"/>
    <s v="Y"/>
  </r>
  <r>
    <x v="116"/>
    <x v="1"/>
    <s v="Yes"/>
    <n v="0"/>
    <x v="0"/>
    <x v="0"/>
    <n v="3167"/>
    <n v="2283"/>
    <n v="154000"/>
    <n v="360"/>
    <n v="1"/>
    <x v="2"/>
    <s v="Y"/>
  </r>
  <r>
    <x v="117"/>
    <x v="0"/>
    <s v="Yes"/>
    <n v="1"/>
    <x v="0"/>
    <x v="0"/>
    <n v="2214"/>
    <n v="1398"/>
    <n v="85"/>
    <n v="360"/>
    <m/>
    <x v="0"/>
    <s v="Y"/>
  </r>
  <r>
    <x v="118"/>
    <x v="0"/>
    <s v="Yes"/>
    <n v="0"/>
    <x v="0"/>
    <x v="0"/>
    <n v="5568"/>
    <n v="2142"/>
    <n v="175"/>
    <n v="360"/>
    <n v="1"/>
    <x v="1"/>
    <s v="N"/>
  </r>
  <r>
    <x v="119"/>
    <x v="1"/>
    <s v="No"/>
    <n v="0"/>
    <x v="0"/>
    <x v="0"/>
    <n v="10408"/>
    <n v="0"/>
    <n v="259"/>
    <n v="360"/>
    <n v="1"/>
    <x v="0"/>
    <s v="Y"/>
  </r>
  <r>
    <x v="120"/>
    <x v="0"/>
    <s v="Yes"/>
    <m/>
    <x v="0"/>
    <x v="0"/>
    <n v="5667"/>
    <n v="2667"/>
    <n v="180"/>
    <n v="360"/>
    <n v="1"/>
    <x v="1"/>
    <s v="Y"/>
  </r>
  <r>
    <x v="121"/>
    <x v="1"/>
    <s v="No"/>
    <n v="0"/>
    <x v="0"/>
    <x v="0"/>
    <n v="4166"/>
    <n v="0"/>
    <n v="44"/>
    <n v="360"/>
    <n v="1"/>
    <x v="2"/>
    <s v="Y"/>
  </r>
  <r>
    <x v="122"/>
    <x v="1"/>
    <s v="No"/>
    <n v="0"/>
    <x v="0"/>
    <x v="0"/>
    <n v="2137"/>
    <n v="8980"/>
    <n v="137"/>
    <n v="360"/>
    <n v="0"/>
    <x v="2"/>
    <s v="Y"/>
  </r>
  <r>
    <x v="123"/>
    <x v="0"/>
    <s v="Yes"/>
    <n v="2"/>
    <x v="0"/>
    <x v="0"/>
    <n v="2957"/>
    <n v="0"/>
    <n v="81"/>
    <n v="360"/>
    <n v="1"/>
    <x v="2"/>
    <s v="Y"/>
  </r>
  <r>
    <x v="124"/>
    <x v="0"/>
    <s v="Yes"/>
    <n v="0"/>
    <x v="1"/>
    <x v="0"/>
    <n v="4300"/>
    <n v="2014"/>
    <n v="19400"/>
    <n v="360"/>
    <n v="1"/>
    <x v="1"/>
    <s v="Y"/>
  </r>
  <r>
    <x v="125"/>
    <x v="1"/>
    <s v="No"/>
    <n v="0"/>
    <x v="0"/>
    <x v="0"/>
    <n v="3692"/>
    <n v="0"/>
    <n v="93"/>
    <n v="360"/>
    <m/>
    <x v="1"/>
    <s v="Y"/>
  </r>
  <r>
    <x v="126"/>
    <x v="2"/>
    <s v="Yes"/>
    <n v="3"/>
    <x v="0"/>
    <x v="0"/>
    <n v="23803"/>
    <n v="0"/>
    <n v="370"/>
    <n v="360"/>
    <n v="1"/>
    <x v="1"/>
    <s v="Y"/>
  </r>
  <r>
    <x v="127"/>
    <x v="0"/>
    <s v="No"/>
    <n v="0"/>
    <x v="0"/>
    <x v="0"/>
    <n v="3865"/>
    <n v="1640"/>
    <m/>
    <n v="360"/>
    <n v="1"/>
    <x v="1"/>
    <s v="Y"/>
  </r>
  <r>
    <x v="128"/>
    <x v="0"/>
    <s v="Yes"/>
    <n v="1"/>
    <x v="0"/>
    <x v="1"/>
    <n v="10513"/>
    <n v="3850"/>
    <n v="160"/>
    <n v="180"/>
    <n v="0"/>
    <x v="0"/>
    <s v="N"/>
  </r>
  <r>
    <x v="129"/>
    <x v="0"/>
    <s v="Yes"/>
    <n v="0"/>
    <x v="0"/>
    <x v="0"/>
    <n v="6080"/>
    <n v="2569"/>
    <n v="182"/>
    <n v="360"/>
    <m/>
    <x v="1"/>
    <s v="N"/>
  </r>
  <r>
    <x v="130"/>
    <x v="0"/>
    <s v="No"/>
    <n v="0"/>
    <x v="0"/>
    <x v="1"/>
    <n v="20166"/>
    <n v="0"/>
    <n v="650"/>
    <n v="480"/>
    <m/>
    <x v="0"/>
    <s v="Y"/>
  </r>
  <r>
    <x v="131"/>
    <x v="0"/>
    <s v="No"/>
    <n v="0"/>
    <x v="0"/>
    <x v="0"/>
    <n v="2014"/>
    <n v="1929"/>
    <n v="74"/>
    <n v="360"/>
    <n v="1"/>
    <x v="0"/>
    <s v="Y"/>
  </r>
  <r>
    <x v="132"/>
    <x v="0"/>
    <s v="No"/>
    <n v="0"/>
    <x v="0"/>
    <x v="0"/>
    <n v="2718"/>
    <n v="0"/>
    <n v="70"/>
    <n v="360"/>
    <n v="1"/>
    <x v="2"/>
    <s v="Y"/>
  </r>
  <r>
    <x v="133"/>
    <x v="0"/>
    <s v="Yes"/>
    <n v="0"/>
    <x v="0"/>
    <x v="1"/>
    <n v="3459"/>
    <n v="0"/>
    <n v="250"/>
    <n v="120"/>
    <n v="1"/>
    <x v="2"/>
    <s v="Y"/>
  </r>
  <r>
    <x v="134"/>
    <x v="0"/>
    <s v="No"/>
    <n v="0"/>
    <x v="0"/>
    <x v="0"/>
    <n v="4895"/>
    <n v="0"/>
    <n v="102"/>
    <n v="360"/>
    <n v="1"/>
    <x v="2"/>
    <s v="Y"/>
  </r>
  <r>
    <x v="135"/>
    <x v="0"/>
    <s v="Yes"/>
    <n v="3"/>
    <x v="0"/>
    <x v="0"/>
    <n v="4000"/>
    <n v="7750"/>
    <n v="290"/>
    <n v="360"/>
    <n v="1"/>
    <x v="2"/>
    <s v="N"/>
  </r>
  <r>
    <x v="136"/>
    <x v="1"/>
    <s v="Yes"/>
    <n v="0"/>
    <x v="0"/>
    <x v="0"/>
    <n v="4583"/>
    <n v="0"/>
    <n v="84"/>
    <n v="360"/>
    <n v="1"/>
    <x v="1"/>
    <s v="N"/>
  </r>
  <r>
    <x v="137"/>
    <x v="0"/>
    <s v="Yes"/>
    <n v="2"/>
    <x v="0"/>
    <x v="1"/>
    <n v="3316"/>
    <n v="3500"/>
    <n v="88"/>
    <n v="360"/>
    <n v="1"/>
    <x v="0"/>
    <s v="Y"/>
  </r>
  <r>
    <x v="138"/>
    <x v="0"/>
    <s v="No"/>
    <n v="0"/>
    <x v="0"/>
    <x v="0"/>
    <n v="14999"/>
    <n v="0"/>
    <n v="242"/>
    <n v="360"/>
    <n v="0"/>
    <x v="2"/>
    <s v="N"/>
  </r>
  <r>
    <x v="139"/>
    <x v="0"/>
    <s v="Yes"/>
    <n v="2"/>
    <x v="1"/>
    <x v="0"/>
    <n v="4200"/>
    <n v="1430"/>
    <n v="129"/>
    <n v="360"/>
    <n v="1"/>
    <x v="1"/>
    <s v="N"/>
  </r>
  <r>
    <x v="140"/>
    <x v="0"/>
    <s v="Yes"/>
    <n v="2"/>
    <x v="0"/>
    <x v="0"/>
    <n v="5042"/>
    <n v="2083"/>
    <n v="185"/>
    <n v="360"/>
    <n v="1"/>
    <x v="1"/>
    <s v="N"/>
  </r>
  <r>
    <x v="141"/>
    <x v="0"/>
    <s v="No"/>
    <n v="0"/>
    <x v="0"/>
    <x v="0"/>
    <n v="5417"/>
    <n v="0"/>
    <n v="168"/>
    <n v="360"/>
    <n v="1"/>
    <x v="0"/>
    <s v="Y"/>
  </r>
  <r>
    <x v="142"/>
    <x v="0"/>
    <s v="No"/>
    <n v="0"/>
    <x v="0"/>
    <x v="1"/>
    <n v="6950"/>
    <n v="0"/>
    <n v="1750"/>
    <n v="180"/>
    <n v="1"/>
    <x v="2"/>
    <s v="Y"/>
  </r>
  <r>
    <x v="143"/>
    <x v="0"/>
    <s v="Yes"/>
    <n v="0"/>
    <x v="0"/>
    <x v="0"/>
    <n v="2698"/>
    <n v="2034"/>
    <n v="122"/>
    <n v="360"/>
    <n v="1"/>
    <x v="2"/>
    <s v="Y"/>
  </r>
  <r>
    <x v="144"/>
    <x v="0"/>
    <s v="Yes"/>
    <n v="2"/>
    <x v="0"/>
    <x v="0"/>
    <n v="11757"/>
    <n v="0"/>
    <n v="187"/>
    <n v="180"/>
    <n v="1"/>
    <x v="0"/>
    <s v="Y"/>
  </r>
  <r>
    <x v="145"/>
    <x v="1"/>
    <s v="Yes"/>
    <n v="0"/>
    <x v="0"/>
    <x v="0"/>
    <n v="2330"/>
    <n v="4486"/>
    <n v="100"/>
    <n v="360"/>
    <n v="1"/>
    <x v="2"/>
    <s v="Y"/>
  </r>
  <r>
    <x v="146"/>
    <x v="1"/>
    <s v="Yes"/>
    <n v="2"/>
    <x v="0"/>
    <x v="0"/>
    <n v="14866"/>
    <n v="0"/>
    <n v="70"/>
    <n v="360"/>
    <n v="1"/>
    <x v="0"/>
    <s v="Y"/>
  </r>
  <r>
    <x v="147"/>
    <x v="0"/>
    <s v="Yes"/>
    <n v="1"/>
    <x v="0"/>
    <x v="0"/>
    <n v="1538"/>
    <n v="1425"/>
    <n v="30"/>
    <n v="360"/>
    <n v="1"/>
    <x v="0"/>
    <s v="Y"/>
  </r>
  <r>
    <x v="148"/>
    <x v="1"/>
    <s v="No"/>
    <n v="0"/>
    <x v="0"/>
    <x v="0"/>
    <n v="10000"/>
    <n v="1666"/>
    <n v="225"/>
    <n v="360"/>
    <n v="1"/>
    <x v="1"/>
    <s v="N"/>
  </r>
  <r>
    <x v="149"/>
    <x v="0"/>
    <s v="Yes"/>
    <n v="0"/>
    <x v="0"/>
    <x v="0"/>
    <n v="4860"/>
    <n v="830"/>
    <n v="125"/>
    <n v="360"/>
    <n v="1"/>
    <x v="2"/>
    <s v="Y"/>
  </r>
  <r>
    <x v="150"/>
    <x v="0"/>
    <s v="No"/>
    <n v="0"/>
    <x v="0"/>
    <x v="0"/>
    <n v="6277"/>
    <n v="0"/>
    <n v="118"/>
    <n v="360"/>
    <n v="0"/>
    <x v="1"/>
    <s v="N"/>
  </r>
  <r>
    <x v="151"/>
    <x v="0"/>
    <s v="Yes"/>
    <n v="0"/>
    <x v="0"/>
    <x v="1"/>
    <n v="2577"/>
    <n v="3750"/>
    <n v="152"/>
    <n v="360"/>
    <n v="1"/>
    <x v="1"/>
    <s v="Y"/>
  </r>
  <r>
    <x v="152"/>
    <x v="0"/>
    <s v="No"/>
    <n v="0"/>
    <x v="0"/>
    <x v="0"/>
    <n v="9166"/>
    <n v="0"/>
    <n v="244"/>
    <n v="360"/>
    <n v="1"/>
    <x v="0"/>
    <s v="N"/>
  </r>
  <r>
    <x v="153"/>
    <x v="0"/>
    <s v="Yes"/>
    <n v="2"/>
    <x v="1"/>
    <x v="0"/>
    <n v="2281"/>
    <n v="0"/>
    <n v="113"/>
    <n v="360"/>
    <n v="1"/>
    <x v="1"/>
    <s v="N"/>
  </r>
  <r>
    <x v="154"/>
    <x v="0"/>
    <s v="No"/>
    <n v="0"/>
    <x v="0"/>
    <x v="0"/>
    <n v="3254"/>
    <n v="0"/>
    <n v="50"/>
    <n v="360"/>
    <n v="1"/>
    <x v="0"/>
    <s v="Y"/>
  </r>
  <r>
    <x v="155"/>
    <x v="0"/>
    <s v="Yes"/>
    <n v="3"/>
    <x v="0"/>
    <x v="0"/>
    <n v="39999"/>
    <n v="0"/>
    <n v="600"/>
    <n v="180"/>
    <n v="0"/>
    <x v="2"/>
    <s v="Y"/>
  </r>
  <r>
    <x v="156"/>
    <x v="0"/>
    <s v="Yes"/>
    <n v="1"/>
    <x v="0"/>
    <x v="0"/>
    <n v="6000"/>
    <n v="0"/>
    <n v="160000"/>
    <n v="360"/>
    <m/>
    <x v="1"/>
    <s v="Y"/>
  </r>
  <r>
    <x v="157"/>
    <x v="0"/>
    <s v="Yes"/>
    <n v="1"/>
    <x v="0"/>
    <x v="0"/>
    <n v="9538"/>
    <n v="0"/>
    <n v="187"/>
    <n v="360"/>
    <n v="1"/>
    <x v="0"/>
    <s v="Y"/>
  </r>
  <r>
    <x v="158"/>
    <x v="0"/>
    <s v="No"/>
    <n v="0"/>
    <x v="0"/>
    <x v="2"/>
    <n v="2980"/>
    <n v="2083"/>
    <n v="120"/>
    <n v="360"/>
    <n v="1"/>
    <x v="1"/>
    <s v="Y"/>
  </r>
  <r>
    <x v="159"/>
    <x v="0"/>
    <s v="Yes"/>
    <n v="0"/>
    <x v="0"/>
    <x v="0"/>
    <n v="4583"/>
    <n v="5625"/>
    <n v="255"/>
    <n v="360"/>
    <n v="1"/>
    <x v="2"/>
    <s v="Y"/>
  </r>
  <r>
    <x v="160"/>
    <x v="0"/>
    <s v="Yes"/>
    <n v="0"/>
    <x v="1"/>
    <x v="0"/>
    <n v="1863"/>
    <n v="1041"/>
    <n v="98"/>
    <n v="360"/>
    <n v="1"/>
    <x v="2"/>
    <s v="Y"/>
  </r>
  <r>
    <x v="161"/>
    <x v="0"/>
    <s v="Yes"/>
    <n v="0"/>
    <x v="0"/>
    <x v="0"/>
    <n v="7933"/>
    <n v="0"/>
    <n v="2750"/>
    <n v="360"/>
    <n v="1"/>
    <x v="0"/>
    <s v="N"/>
  </r>
  <r>
    <x v="162"/>
    <x v="0"/>
    <s v="Yes"/>
    <n v="1"/>
    <x v="0"/>
    <x v="0"/>
    <n v="3089"/>
    <n v="1280"/>
    <n v="121"/>
    <n v="360"/>
    <n v="0"/>
    <x v="2"/>
    <s v="N"/>
  </r>
  <r>
    <x v="163"/>
    <x v="0"/>
    <s v="Yes"/>
    <n v="2"/>
    <x v="0"/>
    <x v="0"/>
    <n v="4167"/>
    <n v="1447"/>
    <n v="158"/>
    <n v="360"/>
    <n v="1"/>
    <x v="1"/>
    <s v="Y"/>
  </r>
  <r>
    <x v="164"/>
    <x v="0"/>
    <s v="Yes"/>
    <n v="0"/>
    <x v="0"/>
    <x v="0"/>
    <n v="9323"/>
    <n v="0"/>
    <n v="75"/>
    <n v="180"/>
    <n v="1"/>
    <x v="0"/>
    <s v="Y"/>
  </r>
  <r>
    <x v="165"/>
    <x v="0"/>
    <s v="Yes"/>
    <n v="0"/>
    <x v="0"/>
    <x v="0"/>
    <n v="3707"/>
    <n v="3166"/>
    <n v="18200"/>
    <m/>
    <n v="1"/>
    <x v="1"/>
    <s v="Y"/>
  </r>
  <r>
    <x v="166"/>
    <x v="1"/>
    <s v="Yes"/>
    <n v="0"/>
    <x v="0"/>
    <x v="0"/>
    <n v="4583"/>
    <n v="0"/>
    <n v="112"/>
    <n v="360"/>
    <n v="1"/>
    <x v="1"/>
    <s v="N"/>
  </r>
  <r>
    <x v="167"/>
    <x v="0"/>
    <s v="Yes"/>
    <n v="0"/>
    <x v="0"/>
    <x v="0"/>
    <n v="2439"/>
    <n v="3333"/>
    <n v="129"/>
    <n v="360"/>
    <n v="1"/>
    <x v="1"/>
    <s v="Y"/>
  </r>
  <r>
    <x v="168"/>
    <x v="0"/>
    <s v="No"/>
    <n v="0"/>
    <x v="0"/>
    <x v="0"/>
    <n v="2237"/>
    <n v="0"/>
    <n v="63"/>
    <n v="480"/>
    <n v="0"/>
    <x v="2"/>
    <s v="N"/>
  </r>
  <r>
    <x v="169"/>
    <x v="0"/>
    <s v="Yes"/>
    <n v="2"/>
    <x v="0"/>
    <x v="0"/>
    <n v="8000"/>
    <n v="0"/>
    <n v="200"/>
    <n v="360"/>
    <n v="1"/>
    <x v="2"/>
    <s v="Y"/>
  </r>
  <r>
    <x v="170"/>
    <x v="0"/>
    <s v="Yes"/>
    <n v="0"/>
    <x v="1"/>
    <x v="2"/>
    <n v="1820"/>
    <n v="1769"/>
    <n v="95"/>
    <n v="360"/>
    <n v="1"/>
    <x v="1"/>
    <s v="Y"/>
  </r>
  <r>
    <x v="171"/>
    <x v="2"/>
    <s v="Yes"/>
    <n v="3"/>
    <x v="0"/>
    <x v="0"/>
    <n v="51763"/>
    <n v="0"/>
    <n v="700"/>
    <n v="300"/>
    <n v="1"/>
    <x v="0"/>
    <s v="Y"/>
  </r>
  <r>
    <x v="172"/>
    <x v="0"/>
    <s v="Yes"/>
    <n v="3"/>
    <x v="1"/>
    <x v="0"/>
    <n v="3522"/>
    <n v="0"/>
    <n v="8100"/>
    <n v="180"/>
    <n v="1"/>
    <x v="1"/>
    <s v="N"/>
  </r>
  <r>
    <x v="173"/>
    <x v="0"/>
    <s v="Yes"/>
    <n v="0"/>
    <x v="0"/>
    <x v="0"/>
    <n v="5708"/>
    <n v="5625"/>
    <n v="187"/>
    <n v="360"/>
    <n v="1"/>
    <x v="2"/>
    <s v="Y"/>
  </r>
  <r>
    <x v="174"/>
    <x v="0"/>
    <s v="Yes"/>
    <n v="0"/>
    <x v="1"/>
    <x v="1"/>
    <n v="4344"/>
    <n v="736"/>
    <n v="87"/>
    <n v="360"/>
    <n v="1"/>
    <x v="2"/>
    <s v="N"/>
  </r>
  <r>
    <x v="175"/>
    <x v="0"/>
    <s v="Yes"/>
    <n v="0"/>
    <x v="0"/>
    <x v="0"/>
    <n v="3497"/>
    <n v="1964"/>
    <n v="116"/>
    <n v="360"/>
    <n v="1"/>
    <x v="1"/>
    <s v="Y"/>
  </r>
  <r>
    <x v="176"/>
    <x v="0"/>
    <s v="Yes"/>
    <n v="2"/>
    <x v="0"/>
    <x v="0"/>
    <n v="2045"/>
    <n v="1619"/>
    <n v="101"/>
    <n v="360"/>
    <n v="1"/>
    <x v="1"/>
    <s v="Y"/>
  </r>
  <r>
    <x v="177"/>
    <x v="0"/>
    <s v="Yes"/>
    <n v="3"/>
    <x v="0"/>
    <x v="0"/>
    <n v="5516"/>
    <n v="11300"/>
    <n v="495"/>
    <n v="360"/>
    <n v="0"/>
    <x v="2"/>
    <s v="N"/>
  </r>
  <r>
    <x v="178"/>
    <x v="0"/>
    <s v="Yes"/>
    <n v="1"/>
    <x v="0"/>
    <x v="0"/>
    <n v="3750"/>
    <n v="0"/>
    <n v="116"/>
    <n v="360"/>
    <n v="1"/>
    <x v="2"/>
    <s v="Y"/>
  </r>
  <r>
    <x v="179"/>
    <x v="0"/>
    <s v="No"/>
    <n v="0"/>
    <x v="1"/>
    <x v="0"/>
    <n v="2333"/>
    <n v="1451"/>
    <n v="102"/>
    <n v="480"/>
    <n v="0"/>
    <x v="0"/>
    <s v="N"/>
  </r>
  <r>
    <x v="180"/>
    <x v="0"/>
    <s v="Yes"/>
    <n v="1"/>
    <x v="0"/>
    <x v="0"/>
    <n v="6400"/>
    <n v="7250"/>
    <n v="180"/>
    <n v="360"/>
    <n v="0"/>
    <x v="0"/>
    <s v="N"/>
  </r>
  <r>
    <x v="181"/>
    <x v="0"/>
    <s v="No"/>
    <n v="0"/>
    <x v="0"/>
    <x v="0"/>
    <n v="1916"/>
    <n v="5063"/>
    <n v="67"/>
    <n v="360"/>
    <m/>
    <x v="1"/>
    <s v="N"/>
  </r>
  <r>
    <x v="182"/>
    <x v="0"/>
    <s v="Yes"/>
    <n v="0"/>
    <x v="0"/>
    <x v="0"/>
    <n v="4600"/>
    <n v="0"/>
    <n v="73"/>
    <n v="180"/>
    <n v="1"/>
    <x v="2"/>
    <s v="Y"/>
  </r>
  <r>
    <x v="183"/>
    <x v="0"/>
    <s v="Yes"/>
    <n v="1"/>
    <x v="0"/>
    <x v="0"/>
    <n v="33846"/>
    <n v="0"/>
    <n v="260"/>
    <n v="360"/>
    <n v="1"/>
    <x v="2"/>
    <s v="N"/>
  </r>
  <r>
    <x v="184"/>
    <x v="1"/>
    <s v="Yes"/>
    <n v="0"/>
    <x v="0"/>
    <x v="0"/>
    <n v="3625"/>
    <n v="0"/>
    <n v="108"/>
    <n v="360"/>
    <n v="1"/>
    <x v="2"/>
    <s v="Y"/>
  </r>
  <r>
    <x v="185"/>
    <x v="0"/>
    <s v="Yes"/>
    <n v="0"/>
    <x v="0"/>
    <x v="1"/>
    <n v="39147"/>
    <n v="4750"/>
    <n v="120"/>
    <n v="360"/>
    <n v="1"/>
    <x v="2"/>
    <s v="Y"/>
  </r>
  <r>
    <x v="186"/>
    <x v="0"/>
    <s v="Yes"/>
    <n v="1"/>
    <x v="0"/>
    <x v="1"/>
    <n v="2178"/>
    <n v="0"/>
    <n v="66"/>
    <n v="300"/>
    <n v="0"/>
    <x v="1"/>
    <s v="N"/>
  </r>
  <r>
    <x v="187"/>
    <x v="0"/>
    <s v="Yes"/>
    <n v="0"/>
    <x v="0"/>
    <x v="0"/>
    <n v="2383"/>
    <n v="2138"/>
    <n v="58"/>
    <n v="360"/>
    <m/>
    <x v="1"/>
    <s v="Y"/>
  </r>
  <r>
    <x v="188"/>
    <x v="2"/>
    <s v="Yes"/>
    <n v="0"/>
    <x v="0"/>
    <x v="1"/>
    <n v="674"/>
    <n v="5296"/>
    <n v="168"/>
    <n v="360"/>
    <n v="1"/>
    <x v="1"/>
    <s v="Y"/>
  </r>
  <r>
    <x v="189"/>
    <x v="0"/>
    <s v="Yes"/>
    <n v="0"/>
    <x v="0"/>
    <x v="0"/>
    <n v="9328"/>
    <n v="0"/>
    <n v="188000"/>
    <n v="180"/>
    <n v="1"/>
    <x v="1"/>
    <s v="Y"/>
  </r>
  <r>
    <x v="190"/>
    <x v="0"/>
    <s v="No"/>
    <n v="0"/>
    <x v="1"/>
    <x v="0"/>
    <n v="4885"/>
    <n v="0"/>
    <n v="48"/>
    <n v="360"/>
    <n v="1"/>
    <x v="1"/>
    <s v="Y"/>
  </r>
  <r>
    <x v="191"/>
    <x v="0"/>
    <s v="No"/>
    <n v="0"/>
    <x v="0"/>
    <x v="0"/>
    <n v="12000"/>
    <n v="0"/>
    <n v="164"/>
    <n v="360"/>
    <n v="1"/>
    <x v="2"/>
    <s v="N"/>
  </r>
  <r>
    <x v="192"/>
    <x v="0"/>
    <s v="Yes"/>
    <n v="0"/>
    <x v="1"/>
    <x v="0"/>
    <n v="6033"/>
    <n v="0"/>
    <n v="160"/>
    <n v="360"/>
    <n v="1"/>
    <x v="0"/>
    <s v="N"/>
  </r>
  <r>
    <x v="193"/>
    <x v="0"/>
    <s v="No"/>
    <n v="0"/>
    <x v="0"/>
    <x v="0"/>
    <n v="3858"/>
    <n v="0"/>
    <n v="76"/>
    <n v="360"/>
    <n v="1"/>
    <x v="2"/>
    <s v="Y"/>
  </r>
  <r>
    <x v="194"/>
    <x v="0"/>
    <s v="No"/>
    <n v="0"/>
    <x v="0"/>
    <x v="0"/>
    <n v="4191"/>
    <n v="0"/>
    <n v="120"/>
    <n v="360"/>
    <n v="1"/>
    <x v="1"/>
    <s v="Y"/>
  </r>
  <r>
    <x v="195"/>
    <x v="0"/>
    <s v="Yes"/>
    <n v="1"/>
    <x v="0"/>
    <x v="0"/>
    <n v="3125"/>
    <n v="2583"/>
    <n v="170"/>
    <n v="360"/>
    <n v="1"/>
    <x v="2"/>
    <s v="N"/>
  </r>
  <r>
    <x v="196"/>
    <x v="0"/>
    <s v="No"/>
    <n v="0"/>
    <x v="0"/>
    <x v="0"/>
    <n v="8333"/>
    <n v="3750"/>
    <n v="187"/>
    <n v="360"/>
    <n v="1"/>
    <x v="1"/>
    <s v="Y"/>
  </r>
  <r>
    <x v="197"/>
    <x v="1"/>
    <s v="No"/>
    <n v="0"/>
    <x v="1"/>
    <x v="0"/>
    <n v="1907"/>
    <n v="2365"/>
    <n v="120"/>
    <m/>
    <n v="1"/>
    <x v="0"/>
    <s v="Y"/>
  </r>
  <r>
    <x v="198"/>
    <x v="1"/>
    <s v="Yes"/>
    <n v="0"/>
    <x v="0"/>
    <x v="0"/>
    <n v="3416"/>
    <n v="2816"/>
    <n v="113"/>
    <n v="360"/>
    <m/>
    <x v="2"/>
    <s v="Y"/>
  </r>
  <r>
    <x v="199"/>
    <x v="0"/>
    <s v="No"/>
    <n v="0"/>
    <x v="0"/>
    <x v="1"/>
    <n v="11000"/>
    <n v="0"/>
    <n v="83"/>
    <n v="360"/>
    <n v="1"/>
    <x v="0"/>
    <s v="N"/>
  </r>
  <r>
    <x v="200"/>
    <x v="0"/>
    <s v="Yes"/>
    <n v="1"/>
    <x v="1"/>
    <x v="0"/>
    <n v="2600"/>
    <n v="2500"/>
    <n v="90"/>
    <n v="360"/>
    <n v="1"/>
    <x v="2"/>
    <s v="Y"/>
  </r>
  <r>
    <x v="201"/>
    <x v="0"/>
    <s v="No"/>
    <n v="2"/>
    <x v="0"/>
    <x v="0"/>
    <n v="4923"/>
    <n v="0"/>
    <n v="166"/>
    <n v="360"/>
    <n v="0"/>
    <x v="2"/>
    <s v="Y"/>
  </r>
  <r>
    <x v="202"/>
    <x v="0"/>
    <s v="Yes"/>
    <n v="3"/>
    <x v="1"/>
    <x v="0"/>
    <n v="3992"/>
    <n v="0"/>
    <m/>
    <n v="180"/>
    <n v="1"/>
    <x v="0"/>
    <s v="N"/>
  </r>
  <r>
    <x v="203"/>
    <x v="0"/>
    <s v="Yes"/>
    <n v="1"/>
    <x v="1"/>
    <x v="0"/>
    <n v="3500"/>
    <n v="1083"/>
    <n v="135"/>
    <n v="360"/>
    <n v="1"/>
    <x v="0"/>
    <s v="Y"/>
  </r>
  <r>
    <x v="204"/>
    <x v="0"/>
    <s v="Yes"/>
    <n v="2"/>
    <x v="1"/>
    <x v="0"/>
    <n v="3917"/>
    <n v="0"/>
    <n v="124"/>
    <n v="360"/>
    <n v="1"/>
    <x v="2"/>
    <s v="Y"/>
  </r>
  <r>
    <x v="205"/>
    <x v="1"/>
    <s v="No"/>
    <n v="0"/>
    <x v="1"/>
    <x v="0"/>
    <n v="4408"/>
    <n v="0"/>
    <n v="120"/>
    <n v="360"/>
    <n v="1"/>
    <x v="2"/>
    <s v="Y"/>
  </r>
  <r>
    <x v="206"/>
    <x v="1"/>
    <s v="No"/>
    <n v="0"/>
    <x v="0"/>
    <x v="0"/>
    <n v="3244"/>
    <n v="0"/>
    <n v="8000"/>
    <n v="360"/>
    <n v="1"/>
    <x v="0"/>
    <s v="Y"/>
  </r>
  <r>
    <x v="207"/>
    <x v="0"/>
    <s v="No"/>
    <n v="0"/>
    <x v="1"/>
    <x v="0"/>
    <n v="3975"/>
    <n v="2531"/>
    <n v="55"/>
    <n v="360"/>
    <n v="1"/>
    <x v="1"/>
    <s v="Y"/>
  </r>
  <r>
    <x v="208"/>
    <x v="0"/>
    <s v="No"/>
    <n v="0"/>
    <x v="0"/>
    <x v="0"/>
    <n v="2479"/>
    <n v="0"/>
    <n v="59"/>
    <n v="360"/>
    <n v="1"/>
    <x v="0"/>
    <s v="Y"/>
  </r>
  <r>
    <x v="209"/>
    <x v="0"/>
    <s v="No"/>
    <n v="0"/>
    <x v="0"/>
    <x v="0"/>
    <n v="3418"/>
    <n v="0"/>
    <n v="127"/>
    <n v="360"/>
    <n v="1"/>
    <x v="2"/>
    <s v="N"/>
  </r>
  <r>
    <x v="210"/>
    <x v="1"/>
    <s v="No"/>
    <n v="0"/>
    <x v="0"/>
    <x v="0"/>
    <n v="10000"/>
    <n v="0"/>
    <n v="214"/>
    <n v="360"/>
    <n v="1"/>
    <x v="2"/>
    <s v="N"/>
  </r>
  <r>
    <x v="211"/>
    <x v="0"/>
    <s v="Yes"/>
    <n v="3"/>
    <x v="0"/>
    <x v="0"/>
    <n v="3430"/>
    <n v="1250"/>
    <n v="128"/>
    <n v="360"/>
    <n v="0"/>
    <x v="2"/>
    <s v="N"/>
  </r>
  <r>
    <x v="212"/>
    <x v="0"/>
    <s v="Yes"/>
    <n v="1"/>
    <x v="0"/>
    <x v="1"/>
    <n v="7787"/>
    <n v="0"/>
    <n v="240"/>
    <n v="360"/>
    <n v="1"/>
    <x v="0"/>
    <s v="Y"/>
  </r>
  <r>
    <x v="213"/>
    <x v="0"/>
    <s v="Yes"/>
    <n v="3"/>
    <x v="1"/>
    <x v="1"/>
    <n v="5703"/>
    <n v="0"/>
    <n v="130"/>
    <n v="360"/>
    <n v="1"/>
    <x v="1"/>
    <s v="Y"/>
  </r>
  <r>
    <x v="214"/>
    <x v="0"/>
    <s v="Yes"/>
    <n v="0"/>
    <x v="0"/>
    <x v="0"/>
    <n v="3173"/>
    <n v="3021"/>
    <n v="137"/>
    <n v="360"/>
    <n v="1"/>
    <x v="0"/>
    <s v="Y"/>
  </r>
  <r>
    <x v="215"/>
    <x v="0"/>
    <s v="Yes"/>
    <n v="3"/>
    <x v="1"/>
    <x v="0"/>
    <n v="3850"/>
    <n v="983"/>
    <n v="100"/>
    <n v="360"/>
    <n v="1"/>
    <x v="2"/>
    <s v="Y"/>
  </r>
  <r>
    <x v="216"/>
    <x v="0"/>
    <s v="Yes"/>
    <n v="0"/>
    <x v="0"/>
    <x v="0"/>
    <n v="150"/>
    <n v="1800"/>
    <n v="13500"/>
    <n v="360"/>
    <n v="1"/>
    <x v="1"/>
    <s v="N"/>
  </r>
  <r>
    <x v="217"/>
    <x v="0"/>
    <s v="Yes"/>
    <n v="0"/>
    <x v="0"/>
    <x v="0"/>
    <n v="3727"/>
    <n v="1775"/>
    <n v="131"/>
    <n v="360"/>
    <n v="1"/>
    <x v="2"/>
    <s v="Y"/>
  </r>
  <r>
    <x v="218"/>
    <x v="0"/>
    <s v="Yes"/>
    <n v="2"/>
    <x v="0"/>
    <x v="2"/>
    <n v="5000"/>
    <n v="0"/>
    <n v="72"/>
    <n v="360"/>
    <n v="0"/>
    <x v="2"/>
    <s v="N"/>
  </r>
  <r>
    <x v="219"/>
    <x v="1"/>
    <s v="Yes"/>
    <n v="2"/>
    <x v="0"/>
    <x v="0"/>
    <n v="4283"/>
    <n v="2383"/>
    <n v="127"/>
    <n v="360"/>
    <m/>
    <x v="2"/>
    <s v="Y"/>
  </r>
  <r>
    <x v="220"/>
    <x v="0"/>
    <s v="Yes"/>
    <n v="0"/>
    <x v="0"/>
    <x v="0"/>
    <n v="2221"/>
    <n v="0"/>
    <n v="60"/>
    <n v="360"/>
    <n v="0"/>
    <x v="0"/>
    <s v="N"/>
  </r>
  <r>
    <x v="221"/>
    <x v="0"/>
    <s v="Yes"/>
    <n v="2"/>
    <x v="0"/>
    <x v="0"/>
    <n v="4009"/>
    <n v="1717"/>
    <n v="116"/>
    <n v="360"/>
    <n v="1"/>
    <x v="2"/>
    <s v="Y"/>
  </r>
  <r>
    <x v="222"/>
    <x v="0"/>
    <s v="No"/>
    <n v="0"/>
    <x v="0"/>
    <x v="0"/>
    <n v="2971"/>
    <n v="2791"/>
    <n v="14400"/>
    <n v="360"/>
    <n v="1"/>
    <x v="2"/>
    <s v="Y"/>
  </r>
  <r>
    <x v="223"/>
    <x v="0"/>
    <s v="Yes"/>
    <n v="0"/>
    <x v="0"/>
    <x v="0"/>
    <n v="7578"/>
    <n v="1010"/>
    <n v="175"/>
    <m/>
    <n v="1"/>
    <x v="2"/>
    <s v="Y"/>
  </r>
  <r>
    <x v="224"/>
    <x v="0"/>
    <s v="Yes"/>
    <n v="0"/>
    <x v="0"/>
    <x v="0"/>
    <n v="6250"/>
    <n v="0"/>
    <n v="128"/>
    <n v="360"/>
    <n v="1"/>
    <x v="2"/>
    <s v="Y"/>
  </r>
  <r>
    <x v="225"/>
    <x v="0"/>
    <s v="Yes"/>
    <n v="0"/>
    <x v="0"/>
    <x v="0"/>
    <n v="3250"/>
    <n v="0"/>
    <n v="170"/>
    <n v="360"/>
    <n v="1"/>
    <x v="1"/>
    <s v="N"/>
  </r>
  <r>
    <x v="226"/>
    <x v="0"/>
    <s v="Yes"/>
    <m/>
    <x v="1"/>
    <x v="1"/>
    <n v="4735"/>
    <n v="0"/>
    <n v="138"/>
    <n v="360"/>
    <n v="1"/>
    <x v="0"/>
    <s v="N"/>
  </r>
  <r>
    <x v="227"/>
    <x v="0"/>
    <s v="Yes"/>
    <n v="2"/>
    <x v="0"/>
    <x v="0"/>
    <n v="6250"/>
    <n v="1695"/>
    <n v="210"/>
    <n v="360"/>
    <n v="1"/>
    <x v="2"/>
    <s v="Y"/>
  </r>
  <r>
    <x v="228"/>
    <x v="0"/>
    <s v=""/>
    <m/>
    <x v="0"/>
    <x v="0"/>
    <n v="4758"/>
    <n v="0"/>
    <n v="158"/>
    <n v="480"/>
    <n v="1"/>
    <x v="2"/>
    <s v="Y"/>
  </r>
  <r>
    <x v="229"/>
    <x v="0"/>
    <s v="No"/>
    <n v="0"/>
    <x v="0"/>
    <x v="1"/>
    <n v="6400"/>
    <n v="0"/>
    <n v="200"/>
    <n v="360"/>
    <n v="1"/>
    <x v="1"/>
    <s v="Y"/>
  </r>
  <r>
    <x v="230"/>
    <x v="0"/>
    <s v="Yes"/>
    <n v="1"/>
    <x v="0"/>
    <x v="0"/>
    <n v="2491"/>
    <n v="2054"/>
    <n v="104"/>
    <n v="360"/>
    <n v="1"/>
    <x v="2"/>
    <s v="Y"/>
  </r>
  <r>
    <x v="231"/>
    <x v="0"/>
    <s v="Yes"/>
    <n v="0"/>
    <x v="0"/>
    <x v="2"/>
    <n v="3716"/>
    <n v="0"/>
    <n v="42"/>
    <n v="180"/>
    <n v="1"/>
    <x v="1"/>
    <s v="Y"/>
  </r>
  <r>
    <x v="232"/>
    <x v="0"/>
    <s v="No"/>
    <n v="0"/>
    <x v="1"/>
    <x v="0"/>
    <n v="3189"/>
    <n v="2598"/>
    <n v="120"/>
    <m/>
    <n v="1"/>
    <x v="1"/>
    <s v="Y"/>
  </r>
  <r>
    <x v="233"/>
    <x v="1"/>
    <s v="No"/>
    <n v="0"/>
    <x v="0"/>
    <x v="0"/>
    <n v="8333"/>
    <n v="0"/>
    <n v="28000"/>
    <n v="360"/>
    <n v="1"/>
    <x v="2"/>
    <s v="Y"/>
  </r>
  <r>
    <x v="234"/>
    <x v="0"/>
    <s v="Yes"/>
    <n v="1"/>
    <x v="0"/>
    <x v="0"/>
    <n v="3155"/>
    <n v="1779"/>
    <n v="140"/>
    <n v="360"/>
    <n v="1"/>
    <x v="2"/>
    <s v="Y"/>
  </r>
  <r>
    <x v="235"/>
    <x v="0"/>
    <s v="Yes"/>
    <n v="1"/>
    <x v="0"/>
    <x v="0"/>
    <n v="5500"/>
    <n v="1260"/>
    <n v="170"/>
    <n v="360"/>
    <n v="1"/>
    <x v="1"/>
    <s v="Y"/>
  </r>
  <r>
    <x v="236"/>
    <x v="0"/>
    <s v="Yes"/>
    <n v="0"/>
    <x v="0"/>
    <x v="2"/>
    <n v="5746"/>
    <n v="0"/>
    <n v="255"/>
    <n v="360"/>
    <m/>
    <x v="0"/>
    <s v="N"/>
  </r>
  <r>
    <x v="237"/>
    <x v="1"/>
    <s v="No"/>
    <n v="0"/>
    <x v="0"/>
    <x v="1"/>
    <n v="3463"/>
    <n v="0"/>
    <n v="122"/>
    <n v="360"/>
    <m/>
    <x v="0"/>
    <s v="Y"/>
  </r>
  <r>
    <x v="238"/>
    <x v="1"/>
    <s v="No"/>
    <n v="1"/>
    <x v="0"/>
    <x v="0"/>
    <n v="3812"/>
    <n v="0"/>
    <n v="112"/>
    <n v="360"/>
    <n v="1"/>
    <x v="1"/>
    <s v="Y"/>
  </r>
  <r>
    <x v="239"/>
    <x v="0"/>
    <s v="Yes"/>
    <n v="1"/>
    <x v="0"/>
    <x v="0"/>
    <n v="3315"/>
    <n v="0"/>
    <n v="96"/>
    <n v="360"/>
    <n v="1"/>
    <x v="2"/>
    <s v="Y"/>
  </r>
  <r>
    <x v="240"/>
    <x v="0"/>
    <s v="Yes"/>
    <n v="2"/>
    <x v="0"/>
    <x v="0"/>
    <n v="5819"/>
    <n v="5000"/>
    <n v="120"/>
    <n v="360"/>
    <n v="1"/>
    <x v="1"/>
    <s v="Y"/>
  </r>
  <r>
    <x v="241"/>
    <x v="0"/>
    <s v="Yes"/>
    <n v="1"/>
    <x v="1"/>
    <x v="0"/>
    <n v="2510"/>
    <n v="1983"/>
    <n v="2140"/>
    <n v="180"/>
    <n v="1"/>
    <x v="0"/>
    <s v="N"/>
  </r>
  <r>
    <x v="242"/>
    <x v="0"/>
    <s v="No"/>
    <n v="0"/>
    <x v="0"/>
    <x v="0"/>
    <n v="2965"/>
    <n v="5701"/>
    <n v="155"/>
    <n v="60"/>
    <n v="1"/>
    <x v="0"/>
    <s v="Y"/>
  </r>
  <r>
    <x v="243"/>
    <x v="0"/>
    <s v="Yes"/>
    <n v="2"/>
    <x v="0"/>
    <x v="1"/>
    <n v="6250"/>
    <n v="1300"/>
    <n v="108"/>
    <n v="360"/>
    <n v="1"/>
    <x v="1"/>
    <s v="Y"/>
  </r>
  <r>
    <x v="244"/>
    <x v="0"/>
    <s v="Yes"/>
    <n v="0"/>
    <x v="1"/>
    <x v="0"/>
    <n v="3406"/>
    <n v="4417"/>
    <n v="123"/>
    <n v="360"/>
    <n v="1"/>
    <x v="2"/>
    <s v="Y"/>
  </r>
  <r>
    <x v="245"/>
    <x v="0"/>
    <s v="No"/>
    <n v="0"/>
    <x v="0"/>
    <x v="1"/>
    <n v="6050"/>
    <n v="4333"/>
    <n v="120"/>
    <n v="180"/>
    <n v="1"/>
    <x v="0"/>
    <s v="N"/>
  </r>
  <r>
    <x v="246"/>
    <x v="0"/>
    <s v="Yes"/>
    <n v="2"/>
    <x v="0"/>
    <x v="0"/>
    <n v="9703"/>
    <n v="0"/>
    <n v="11200"/>
    <n v="360"/>
    <n v="1"/>
    <x v="0"/>
    <s v="Y"/>
  </r>
  <r>
    <x v="247"/>
    <x v="0"/>
    <s v="Yes"/>
    <n v="1"/>
    <x v="1"/>
    <x v="0"/>
    <n v="6608"/>
    <n v="0"/>
    <n v="137"/>
    <n v="180"/>
    <n v="1"/>
    <x v="0"/>
    <s v="Y"/>
  </r>
  <r>
    <x v="248"/>
    <x v="0"/>
    <s v="Yes"/>
    <n v="1"/>
    <x v="0"/>
    <x v="0"/>
    <n v="2882"/>
    <n v="1843"/>
    <n v="123"/>
    <n v="480"/>
    <n v="1"/>
    <x v="2"/>
    <s v="Y"/>
  </r>
  <r>
    <x v="249"/>
    <x v="0"/>
    <s v="Yes"/>
    <n v="0"/>
    <x v="0"/>
    <x v="0"/>
    <n v="1809"/>
    <n v="1868"/>
    <n v="90"/>
    <n v="360"/>
    <n v="1"/>
    <x v="0"/>
    <s v="Y"/>
  </r>
  <r>
    <x v="250"/>
    <x v="0"/>
    <s v="Yes"/>
    <n v="0"/>
    <x v="1"/>
    <x v="0"/>
    <n v="1668"/>
    <n v="3890"/>
    <n v="201"/>
    <n v="360"/>
    <n v="0"/>
    <x v="2"/>
    <s v="N"/>
  </r>
  <r>
    <x v="251"/>
    <x v="1"/>
    <s v="No"/>
    <n v="2"/>
    <x v="0"/>
    <x v="0"/>
    <n v="3427"/>
    <n v="0"/>
    <n v="138"/>
    <n v="360"/>
    <n v="1"/>
    <x v="0"/>
    <s v="N"/>
  </r>
  <r>
    <x v="252"/>
    <x v="0"/>
    <s v="No"/>
    <n v="0"/>
    <x v="1"/>
    <x v="1"/>
    <n v="2583"/>
    <n v="2167"/>
    <n v="2104"/>
    <n v="360"/>
    <n v="1"/>
    <x v="1"/>
    <s v="Y"/>
  </r>
  <r>
    <x v="253"/>
    <x v="0"/>
    <s v="Yes"/>
    <n v="1"/>
    <x v="1"/>
    <x v="0"/>
    <n v="2661"/>
    <n v="7101"/>
    <n v="279"/>
    <n v="180"/>
    <n v="1"/>
    <x v="2"/>
    <s v="Y"/>
  </r>
  <r>
    <x v="254"/>
    <x v="0"/>
    <s v="No"/>
    <n v="0"/>
    <x v="0"/>
    <x v="1"/>
    <n v="16250"/>
    <n v="0"/>
    <n v="192"/>
    <n v="360"/>
    <n v="0"/>
    <x v="0"/>
    <s v="N"/>
  </r>
  <r>
    <x v="255"/>
    <x v="1"/>
    <s v="No"/>
    <n v="3"/>
    <x v="0"/>
    <x v="0"/>
    <n v="3083"/>
    <n v="0"/>
    <n v="255"/>
    <n v="360"/>
    <n v="1"/>
    <x v="1"/>
    <s v="Y"/>
  </r>
  <r>
    <x v="256"/>
    <x v="0"/>
    <s v="No"/>
    <n v="0"/>
    <x v="1"/>
    <x v="0"/>
    <n v="6045"/>
    <n v="0"/>
    <n v="115"/>
    <n v="360"/>
    <n v="0"/>
    <x v="1"/>
    <s v="N"/>
  </r>
  <r>
    <x v="257"/>
    <x v="0"/>
    <s v="Yes"/>
    <n v="3"/>
    <x v="0"/>
    <x v="0"/>
    <n v="5250"/>
    <n v="0"/>
    <n v="94"/>
    <n v="360"/>
    <n v="1"/>
    <x v="0"/>
    <s v="N"/>
  </r>
  <r>
    <x v="258"/>
    <x v="0"/>
    <s v="Yes"/>
    <n v="0"/>
    <x v="0"/>
    <x v="0"/>
    <n v="14683"/>
    <n v="2100"/>
    <n v="2304"/>
    <n v="360"/>
    <n v="1"/>
    <x v="1"/>
    <s v="N"/>
  </r>
  <r>
    <x v="259"/>
    <x v="0"/>
    <s v="Yes"/>
    <n v="3"/>
    <x v="1"/>
    <x v="0"/>
    <n v="4931"/>
    <n v="0"/>
    <n v="128"/>
    <n v="360"/>
    <m/>
    <x v="2"/>
    <s v="N"/>
  </r>
  <r>
    <x v="260"/>
    <x v="0"/>
    <s v="Yes"/>
    <n v="1"/>
    <x v="0"/>
    <x v="0"/>
    <n v="6083"/>
    <n v="4250"/>
    <n v="33000"/>
    <n v="360"/>
    <m/>
    <x v="0"/>
    <s v="Y"/>
  </r>
  <r>
    <x v="261"/>
    <x v="0"/>
    <s v="No"/>
    <n v="0"/>
    <x v="0"/>
    <x v="0"/>
    <n v="2060"/>
    <n v="2209"/>
    <n v="134"/>
    <n v="360"/>
    <n v="1"/>
    <x v="2"/>
    <s v="Y"/>
  </r>
  <r>
    <x v="262"/>
    <x v="1"/>
    <s v="No"/>
    <n v="1"/>
    <x v="0"/>
    <x v="0"/>
    <n v="3481"/>
    <n v="0"/>
    <n v="155"/>
    <n v="36"/>
    <n v="1"/>
    <x v="2"/>
    <s v="N"/>
  </r>
  <r>
    <x v="263"/>
    <x v="1"/>
    <s v="No"/>
    <n v="0"/>
    <x v="0"/>
    <x v="0"/>
    <n v="7200"/>
    <n v="0"/>
    <n v="2120"/>
    <n v="360"/>
    <n v="1"/>
    <x v="1"/>
    <s v="Y"/>
  </r>
  <r>
    <x v="264"/>
    <x v="0"/>
    <s v="No"/>
    <n v="0"/>
    <x v="0"/>
    <x v="1"/>
    <n v="5166"/>
    <n v="0"/>
    <n v="128"/>
    <n v="360"/>
    <n v="1"/>
    <x v="2"/>
    <s v="Y"/>
  </r>
  <r>
    <x v="265"/>
    <x v="0"/>
    <s v="No"/>
    <n v="0"/>
    <x v="0"/>
    <x v="0"/>
    <n v="4095"/>
    <n v="3447"/>
    <n v="151"/>
    <n v="360"/>
    <n v="1"/>
    <x v="1"/>
    <s v="Y"/>
  </r>
  <r>
    <x v="266"/>
    <x v="0"/>
    <s v="Yes"/>
    <n v="2"/>
    <x v="0"/>
    <x v="0"/>
    <n v="4708"/>
    <n v="1387"/>
    <n v="150"/>
    <n v="360"/>
    <n v="1"/>
    <x v="2"/>
    <s v="Y"/>
  </r>
  <r>
    <x v="267"/>
    <x v="0"/>
    <s v="Yes"/>
    <n v="3"/>
    <x v="0"/>
    <x v="0"/>
    <n v="4333"/>
    <n v="1811"/>
    <n v="1600"/>
    <n v="360"/>
    <n v="0"/>
    <x v="0"/>
    <s v="Y"/>
  </r>
  <r>
    <x v="268"/>
    <x v="1"/>
    <s v="No"/>
    <n v="0"/>
    <x v="0"/>
    <x v="2"/>
    <n v="3418"/>
    <n v="0"/>
    <n v="135"/>
    <n v="360"/>
    <n v="1"/>
    <x v="1"/>
    <s v="N"/>
  </r>
  <r>
    <x v="269"/>
    <x v="1"/>
    <s v="No"/>
    <n v="1"/>
    <x v="0"/>
    <x v="0"/>
    <n v="2876"/>
    <n v="1560"/>
    <n v="90"/>
    <n v="360"/>
    <n v="1"/>
    <x v="0"/>
    <s v="Y"/>
  </r>
  <r>
    <x v="270"/>
    <x v="1"/>
    <s v="No"/>
    <n v="0"/>
    <x v="0"/>
    <x v="0"/>
    <n v="3237"/>
    <n v="0"/>
    <n v="3000"/>
    <n v="360"/>
    <n v="1"/>
    <x v="0"/>
    <s v="Y"/>
  </r>
  <r>
    <x v="271"/>
    <x v="0"/>
    <s v="Yes"/>
    <n v="0"/>
    <x v="0"/>
    <x v="0"/>
    <n v="11146"/>
    <n v="0"/>
    <n v="136"/>
    <n v="360"/>
    <n v="1"/>
    <x v="0"/>
    <s v="Y"/>
  </r>
  <r>
    <x v="272"/>
    <x v="0"/>
    <s v="No"/>
    <n v="0"/>
    <x v="0"/>
    <x v="0"/>
    <n v="2833"/>
    <n v="1857"/>
    <n v="12600"/>
    <n v="360"/>
    <n v="1"/>
    <x v="1"/>
    <s v="Y"/>
  </r>
  <r>
    <x v="273"/>
    <x v="0"/>
    <s v="Yes"/>
    <n v="0"/>
    <x v="0"/>
    <x v="0"/>
    <n v="2620"/>
    <n v="2223"/>
    <n v="150"/>
    <n v="360"/>
    <n v="1"/>
    <x v="2"/>
    <s v="Y"/>
  </r>
  <r>
    <x v="274"/>
    <x v="0"/>
    <s v="Yes"/>
    <n v="2"/>
    <x v="0"/>
    <x v="0"/>
    <n v="3900"/>
    <n v="0"/>
    <n v="90"/>
    <n v="360"/>
    <n v="1"/>
    <x v="2"/>
    <s v="Y"/>
  </r>
  <r>
    <x v="275"/>
    <x v="0"/>
    <s v="Yes"/>
    <n v="1"/>
    <x v="0"/>
    <x v="0"/>
    <n v="2750"/>
    <n v="1842"/>
    <n v="115"/>
    <n v="360"/>
    <n v="1"/>
    <x v="2"/>
    <s v="Y"/>
  </r>
  <r>
    <x v="276"/>
    <x v="0"/>
    <s v="Yes"/>
    <n v="0"/>
    <x v="0"/>
    <x v="0"/>
    <n v="3993"/>
    <n v="3274"/>
    <n v="207"/>
    <n v="360"/>
    <n v="1"/>
    <x v="2"/>
    <s v="Y"/>
  </r>
  <r>
    <x v="277"/>
    <x v="0"/>
    <s v="Yes"/>
    <n v="0"/>
    <x v="0"/>
    <x v="0"/>
    <n v="3103"/>
    <n v="1300"/>
    <n v="80"/>
    <n v="360"/>
    <n v="1"/>
    <x v="0"/>
    <s v="Y"/>
  </r>
  <r>
    <x v="278"/>
    <x v="0"/>
    <s v="Yes"/>
    <n v="0"/>
    <x v="0"/>
    <x v="0"/>
    <n v="14583"/>
    <n v="0"/>
    <n v="436"/>
    <n v="360"/>
    <n v="1"/>
    <x v="2"/>
    <s v="Y"/>
  </r>
  <r>
    <x v="279"/>
    <x v="1"/>
    <s v="Yes"/>
    <n v="0"/>
    <x v="1"/>
    <x v="0"/>
    <n v="4100"/>
    <n v="0"/>
    <n v="124"/>
    <n v="360"/>
    <m/>
    <x v="1"/>
    <s v="Y"/>
  </r>
  <r>
    <x v="280"/>
    <x v="0"/>
    <s v="No"/>
    <n v="1"/>
    <x v="1"/>
    <x v="1"/>
    <n v="4053"/>
    <n v="2426"/>
    <n v="158"/>
    <n v="360"/>
    <n v="0"/>
    <x v="0"/>
    <s v="N"/>
  </r>
  <r>
    <x v="281"/>
    <x v="0"/>
    <s v="Yes"/>
    <n v="0"/>
    <x v="0"/>
    <x v="0"/>
    <n v="3927"/>
    <n v="800"/>
    <n v="1120"/>
    <n v="360"/>
    <n v="1"/>
    <x v="2"/>
    <s v="Y"/>
  </r>
  <r>
    <x v="282"/>
    <x v="0"/>
    <s v="Yes"/>
    <n v="2"/>
    <x v="0"/>
    <x v="0"/>
    <n v="2301"/>
    <n v="986"/>
    <n v="78"/>
    <n v="180"/>
    <n v="1"/>
    <x v="0"/>
    <s v="Y"/>
  </r>
  <r>
    <x v="283"/>
    <x v="1"/>
    <s v="No"/>
    <n v="0"/>
    <x v="0"/>
    <x v="0"/>
    <n v="1811"/>
    <n v="1666"/>
    <n v="54"/>
    <n v="360"/>
    <n v="1"/>
    <x v="0"/>
    <s v="Y"/>
  </r>
  <r>
    <x v="284"/>
    <x v="0"/>
    <s v="Yes"/>
    <n v="0"/>
    <x v="0"/>
    <x v="0"/>
    <n v="20667"/>
    <n v="0"/>
    <m/>
    <n v="360"/>
    <n v="1"/>
    <x v="1"/>
    <s v="N"/>
  </r>
  <r>
    <x v="285"/>
    <x v="0"/>
    <s v="No"/>
    <n v="0"/>
    <x v="0"/>
    <x v="0"/>
    <n v="3158"/>
    <n v="3053"/>
    <n v="89"/>
    <n v="360"/>
    <n v="1"/>
    <x v="1"/>
    <s v="Y"/>
  </r>
  <r>
    <x v="286"/>
    <x v="1"/>
    <s v="No"/>
    <n v="0"/>
    <x v="0"/>
    <x v="1"/>
    <n v="2600"/>
    <n v="1717"/>
    <n v="99"/>
    <n v="300"/>
    <n v="1"/>
    <x v="2"/>
    <s v="N"/>
  </r>
  <r>
    <x v="287"/>
    <x v="0"/>
    <s v="Yes"/>
    <n v="0"/>
    <x v="0"/>
    <x v="0"/>
    <n v="3704"/>
    <n v="2000"/>
    <n v="120000"/>
    <n v="360"/>
    <n v="1"/>
    <x v="1"/>
    <s v="Y"/>
  </r>
  <r>
    <x v="288"/>
    <x v="1"/>
    <s v="No"/>
    <n v="0"/>
    <x v="0"/>
    <x v="0"/>
    <n v="4124"/>
    <n v="0"/>
    <n v="115"/>
    <n v="360"/>
    <n v="1"/>
    <x v="2"/>
    <s v="Y"/>
  </r>
  <r>
    <x v="289"/>
    <x v="0"/>
    <s v="No"/>
    <n v="0"/>
    <x v="0"/>
    <x v="0"/>
    <n v="9508"/>
    <n v="0"/>
    <n v="187"/>
    <n v="360"/>
    <n v="1"/>
    <x v="1"/>
    <s v="Y"/>
  </r>
  <r>
    <x v="290"/>
    <x v="0"/>
    <s v="Yes"/>
    <n v="0"/>
    <x v="0"/>
    <x v="0"/>
    <n v="3075"/>
    <n v="2416"/>
    <n v="139"/>
    <n v="360"/>
    <n v="1"/>
    <x v="1"/>
    <s v="Y"/>
  </r>
  <r>
    <x v="291"/>
    <x v="0"/>
    <s v="Yes"/>
    <n v="2"/>
    <x v="0"/>
    <x v="0"/>
    <n v="4400"/>
    <n v="0"/>
    <n v="127"/>
    <n v="360"/>
    <n v="0"/>
    <x v="2"/>
    <s v="N"/>
  </r>
  <r>
    <x v="292"/>
    <x v="0"/>
    <s v="Yes"/>
    <n v="2"/>
    <x v="0"/>
    <x v="0"/>
    <n v="3153"/>
    <n v="1560"/>
    <n v="134"/>
    <n v="360"/>
    <n v="1"/>
    <x v="0"/>
    <s v="Y"/>
  </r>
  <r>
    <x v="293"/>
    <x v="1"/>
    <s v="No"/>
    <m/>
    <x v="0"/>
    <x v="0"/>
    <n v="5417"/>
    <n v="0"/>
    <n v="143"/>
    <n v="480"/>
    <n v="0"/>
    <x v="0"/>
    <s v="N"/>
  </r>
  <r>
    <x v="294"/>
    <x v="0"/>
    <s v="Yes"/>
    <n v="0"/>
    <x v="0"/>
    <x v="0"/>
    <n v="2383"/>
    <n v="3334"/>
    <n v="172"/>
    <n v="360"/>
    <n v="1"/>
    <x v="2"/>
    <s v="Y"/>
  </r>
  <r>
    <x v="295"/>
    <x v="0"/>
    <s v="Yes"/>
    <n v="3"/>
    <x v="0"/>
    <x v="2"/>
    <n v="4416"/>
    <n v="1250"/>
    <n v="110"/>
    <n v="360"/>
    <n v="1"/>
    <x v="0"/>
    <s v="Y"/>
  </r>
  <r>
    <x v="296"/>
    <x v="0"/>
    <s v="Yes"/>
    <n v="1"/>
    <x v="0"/>
    <x v="0"/>
    <n v="6875"/>
    <n v="0"/>
    <n v="200"/>
    <n v="360"/>
    <n v="1"/>
    <x v="2"/>
    <s v="Y"/>
  </r>
  <r>
    <x v="297"/>
    <x v="1"/>
    <s v="Yes"/>
    <n v="1"/>
    <x v="0"/>
    <x v="0"/>
    <n v="4666"/>
    <n v="0"/>
    <n v="135"/>
    <n v="360"/>
    <n v="1"/>
    <x v="0"/>
    <s v="Y"/>
  </r>
  <r>
    <x v="298"/>
    <x v="1"/>
    <s v="No"/>
    <n v="0"/>
    <x v="0"/>
    <x v="0"/>
    <n v="5000"/>
    <n v="2541"/>
    <n v="151"/>
    <n v="480"/>
    <n v="1"/>
    <x v="1"/>
    <s v="N"/>
  </r>
  <r>
    <x v="299"/>
    <x v="0"/>
    <s v="Yes"/>
    <n v="1"/>
    <x v="0"/>
    <x v="0"/>
    <n v="2014"/>
    <n v="2925"/>
    <n v="113"/>
    <n v="360"/>
    <n v="1"/>
    <x v="0"/>
    <s v="N"/>
  </r>
  <r>
    <x v="300"/>
    <x v="0"/>
    <s v="Yes"/>
    <n v="0"/>
    <x v="1"/>
    <x v="0"/>
    <n v="1800"/>
    <n v="2934"/>
    <n v="93"/>
    <n v="360"/>
    <n v="0"/>
    <x v="0"/>
    <s v="N"/>
  </r>
  <r>
    <x v="301"/>
    <x v="0"/>
    <s v="Yes"/>
    <m/>
    <x v="1"/>
    <x v="0"/>
    <n v="2875"/>
    <n v="1750"/>
    <n v="105"/>
    <n v="360"/>
    <n v="1"/>
    <x v="2"/>
    <s v="Y"/>
  </r>
  <r>
    <x v="302"/>
    <x v="1"/>
    <s v="No"/>
    <n v="0"/>
    <x v="0"/>
    <x v="0"/>
    <n v="5000"/>
    <n v="0"/>
    <n v="132"/>
    <n v="360"/>
    <n v="1"/>
    <x v="1"/>
    <s v="Y"/>
  </r>
  <r>
    <x v="303"/>
    <x v="0"/>
    <s v="Yes"/>
    <n v="1"/>
    <x v="0"/>
    <x v="0"/>
    <n v="1625"/>
    <n v="1803"/>
    <n v="9600"/>
    <n v="360"/>
    <n v="1"/>
    <x v="0"/>
    <s v="Y"/>
  </r>
  <r>
    <x v="304"/>
    <x v="0"/>
    <s v="No"/>
    <n v="0"/>
    <x v="0"/>
    <x v="0"/>
    <n v="4000"/>
    <n v="2500"/>
    <n v="140"/>
    <n v="360"/>
    <n v="1"/>
    <x v="1"/>
    <s v="Y"/>
  </r>
  <r>
    <x v="305"/>
    <x v="0"/>
    <s v="No"/>
    <n v="0"/>
    <x v="1"/>
    <x v="0"/>
    <n v="2000"/>
    <n v="0"/>
    <m/>
    <n v="360"/>
    <n v="1"/>
    <x v="0"/>
    <s v="N"/>
  </r>
  <r>
    <x v="306"/>
    <x v="1"/>
    <s v="No"/>
    <n v="0"/>
    <x v="0"/>
    <x v="0"/>
    <n v="3762"/>
    <n v="1666"/>
    <n v="135"/>
    <n v="360"/>
    <n v="1"/>
    <x v="1"/>
    <s v="Y"/>
  </r>
  <r>
    <x v="307"/>
    <x v="1"/>
    <s v="No"/>
    <n v="0"/>
    <x v="0"/>
    <x v="0"/>
    <n v="2400"/>
    <n v="1863"/>
    <n v="104"/>
    <n v="360"/>
    <n v="0"/>
    <x v="0"/>
    <s v="N"/>
  </r>
  <r>
    <x v="308"/>
    <x v="0"/>
    <s v="No"/>
    <n v="0"/>
    <x v="0"/>
    <x v="0"/>
    <n v="20233"/>
    <n v="0"/>
    <n v="480"/>
    <n v="360"/>
    <n v="1"/>
    <x v="1"/>
    <s v="N"/>
  </r>
  <r>
    <x v="309"/>
    <x v="0"/>
    <s v="Yes"/>
    <n v="2"/>
    <x v="1"/>
    <x v="0"/>
    <n v="7667"/>
    <n v="0"/>
    <n v="185"/>
    <n v="360"/>
    <m/>
    <x v="1"/>
    <s v="Y"/>
  </r>
  <r>
    <x v="310"/>
    <x v="1"/>
    <s v="No"/>
    <n v="0"/>
    <x v="0"/>
    <x v="0"/>
    <n v="2917"/>
    <n v="0"/>
    <n v="84"/>
    <n v="360"/>
    <n v="1"/>
    <x v="2"/>
    <s v="Y"/>
  </r>
  <r>
    <x v="311"/>
    <x v="0"/>
    <s v="No"/>
    <n v="0"/>
    <x v="1"/>
    <x v="0"/>
    <n v="2927"/>
    <n v="2405"/>
    <n v="111"/>
    <n v="360"/>
    <n v="1"/>
    <x v="2"/>
    <s v="Y"/>
  </r>
  <r>
    <x v="312"/>
    <x v="1"/>
    <s v="No"/>
    <n v="0"/>
    <x v="0"/>
    <x v="0"/>
    <n v="2507"/>
    <n v="0"/>
    <n v="56"/>
    <n v="360"/>
    <n v="1"/>
    <x v="1"/>
    <s v="Y"/>
  </r>
  <r>
    <x v="313"/>
    <x v="0"/>
    <s v="Yes"/>
    <n v="2"/>
    <x v="0"/>
    <x v="1"/>
    <n v="5746"/>
    <n v="0"/>
    <n v="144"/>
    <n v="84"/>
    <m/>
    <x v="1"/>
    <s v="Y"/>
  </r>
  <r>
    <x v="314"/>
    <x v="2"/>
    <s v="Yes"/>
    <n v="0"/>
    <x v="0"/>
    <x v="0"/>
    <n v="2473"/>
    <n v="1843"/>
    <n v="159"/>
    <n v="360"/>
    <n v="1"/>
    <x v="1"/>
    <s v="N"/>
  </r>
  <r>
    <x v="315"/>
    <x v="0"/>
    <s v="Yes"/>
    <n v="1"/>
    <x v="1"/>
    <x v="0"/>
    <n v="3399"/>
    <n v="1640"/>
    <n v="111"/>
    <n v="180"/>
    <n v="1"/>
    <x v="0"/>
    <s v="Y"/>
  </r>
  <r>
    <x v="316"/>
    <x v="0"/>
    <s v="Yes"/>
    <n v="2"/>
    <x v="0"/>
    <x v="0"/>
    <n v="3717"/>
    <n v="0"/>
    <n v="12000"/>
    <n v="360"/>
    <n v="1"/>
    <x v="2"/>
    <s v="Y"/>
  </r>
  <r>
    <x v="317"/>
    <x v="0"/>
    <s v="Yes"/>
    <n v="0"/>
    <x v="0"/>
    <x v="0"/>
    <n v="2058"/>
    <n v="2134"/>
    <n v="88"/>
    <n v="360"/>
    <m/>
    <x v="0"/>
    <s v="Y"/>
  </r>
  <r>
    <x v="318"/>
    <x v="1"/>
    <s v="No"/>
    <n v="1"/>
    <x v="0"/>
    <x v="0"/>
    <n v="3541"/>
    <n v="0"/>
    <n v="112"/>
    <n v="360"/>
    <m/>
    <x v="2"/>
    <s v="Y"/>
  </r>
  <r>
    <x v="319"/>
    <x v="0"/>
    <s v="Yes"/>
    <n v="1"/>
    <x v="0"/>
    <x v="1"/>
    <n v="10000"/>
    <n v="0"/>
    <n v="155"/>
    <n v="360"/>
    <n v="1"/>
    <x v="1"/>
    <s v="N"/>
  </r>
  <r>
    <x v="320"/>
    <x v="0"/>
    <s v="Yes"/>
    <n v="0"/>
    <x v="0"/>
    <x v="0"/>
    <n v="2400"/>
    <n v="2167"/>
    <n v="115"/>
    <n v="360"/>
    <n v="1"/>
    <x v="2"/>
    <s v="Y"/>
  </r>
  <r>
    <x v="321"/>
    <x v="0"/>
    <s v="Yes"/>
    <n v="3"/>
    <x v="0"/>
    <x v="0"/>
    <n v="4342"/>
    <n v="189"/>
    <n v="124"/>
    <n v="360"/>
    <n v="1"/>
    <x v="2"/>
    <s v="Y"/>
  </r>
  <r>
    <x v="322"/>
    <x v="0"/>
    <s v="Yes"/>
    <n v="2"/>
    <x v="1"/>
    <x v="0"/>
    <n v="3601"/>
    <n v="1590"/>
    <m/>
    <n v="360"/>
    <n v="1"/>
    <x v="1"/>
    <s v="Y"/>
  </r>
  <r>
    <x v="323"/>
    <x v="1"/>
    <s v="No"/>
    <n v="0"/>
    <x v="0"/>
    <x v="0"/>
    <n v="3166"/>
    <n v="2985"/>
    <n v="132"/>
    <n v="360"/>
    <m/>
    <x v="1"/>
    <s v="Y"/>
  </r>
  <r>
    <x v="324"/>
    <x v="0"/>
    <s v="Yes"/>
    <n v="3"/>
    <x v="0"/>
    <x v="0"/>
    <n v="15000"/>
    <n v="0"/>
    <n v="300"/>
    <n v="360"/>
    <n v="1"/>
    <x v="1"/>
    <s v="Y"/>
  </r>
  <r>
    <x v="325"/>
    <x v="0"/>
    <s v="Yes"/>
    <n v="1"/>
    <x v="0"/>
    <x v="1"/>
    <n v="8666"/>
    <n v="4983"/>
    <n v="376"/>
    <n v="360"/>
    <n v="0"/>
    <x v="1"/>
    <s v="N"/>
  </r>
  <r>
    <x v="326"/>
    <x v="0"/>
    <s v="No"/>
    <n v="0"/>
    <x v="0"/>
    <x v="0"/>
    <n v="4917"/>
    <n v="0"/>
    <n v="130"/>
    <n v="360"/>
    <n v="0"/>
    <x v="1"/>
    <s v="Y"/>
  </r>
  <r>
    <x v="327"/>
    <x v="0"/>
    <s v="Yes"/>
    <n v="0"/>
    <x v="0"/>
    <x v="1"/>
    <n v="5818"/>
    <n v="2160"/>
    <n v="184"/>
    <n v="360"/>
    <n v="1"/>
    <x v="2"/>
    <s v="Y"/>
  </r>
  <r>
    <x v="328"/>
    <x v="1"/>
    <s v="Yes"/>
    <n v="0"/>
    <x v="0"/>
    <x v="0"/>
    <n v="4333"/>
    <n v="2451"/>
    <n v="110"/>
    <n v="360"/>
    <n v="1"/>
    <x v="0"/>
    <s v="N"/>
  </r>
  <r>
    <x v="329"/>
    <x v="1"/>
    <s v="No"/>
    <n v="0"/>
    <x v="0"/>
    <x v="0"/>
    <n v="2500"/>
    <n v="0"/>
    <n v="67"/>
    <n v="360"/>
    <n v="1"/>
    <x v="0"/>
    <s v="Y"/>
  </r>
  <r>
    <x v="330"/>
    <x v="0"/>
    <s v="No"/>
    <n v="1"/>
    <x v="0"/>
    <x v="0"/>
    <n v="4384"/>
    <n v="1793"/>
    <n v="117"/>
    <n v="360"/>
    <n v="1"/>
    <x v="0"/>
    <s v="Y"/>
  </r>
  <r>
    <x v="331"/>
    <x v="0"/>
    <s v="No"/>
    <n v="0"/>
    <x v="0"/>
    <x v="0"/>
    <n v="2935"/>
    <n v="0"/>
    <n v="9800"/>
    <n v="360"/>
    <n v="1"/>
    <x v="2"/>
    <s v="Y"/>
  </r>
  <r>
    <x v="332"/>
    <x v="0"/>
    <s v="No"/>
    <m/>
    <x v="0"/>
    <x v="0"/>
    <n v="2833"/>
    <n v="0"/>
    <n v="71"/>
    <n v="360"/>
    <n v="1"/>
    <x v="0"/>
    <s v="Y"/>
  </r>
  <r>
    <x v="333"/>
    <x v="0"/>
    <s v="Yes"/>
    <n v="0"/>
    <x v="0"/>
    <x v="2"/>
    <n v="63337"/>
    <n v="0"/>
    <n v="490"/>
    <n v="180"/>
    <n v="1"/>
    <x v="0"/>
    <s v="Y"/>
  </r>
  <r>
    <x v="334"/>
    <x v="2"/>
    <s v="Yes"/>
    <n v="1"/>
    <x v="0"/>
    <x v="1"/>
    <n v="9833"/>
    <n v="1833"/>
    <n v="182"/>
    <n v="180"/>
    <n v="1"/>
    <x v="0"/>
    <s v="Y"/>
  </r>
  <r>
    <x v="335"/>
    <x v="0"/>
    <s v="Yes"/>
    <m/>
    <x v="0"/>
    <x v="1"/>
    <n v="5503"/>
    <n v="4490"/>
    <n v="70"/>
    <m/>
    <n v="1"/>
    <x v="2"/>
    <s v="Y"/>
  </r>
  <r>
    <x v="336"/>
    <x v="0"/>
    <s v="Yes"/>
    <n v="1"/>
    <x v="0"/>
    <x v="2"/>
    <n v="5250"/>
    <n v="688"/>
    <n v="160"/>
    <n v="360"/>
    <n v="1"/>
    <x v="1"/>
    <s v="Y"/>
  </r>
  <r>
    <x v="337"/>
    <x v="0"/>
    <s v="Yes"/>
    <n v="2"/>
    <x v="0"/>
    <x v="1"/>
    <n v="2500"/>
    <n v="4600"/>
    <n v="176"/>
    <n v="360"/>
    <n v="1"/>
    <x v="1"/>
    <s v="Y"/>
  </r>
  <r>
    <x v="338"/>
    <x v="1"/>
    <s v="No"/>
    <n v="3"/>
    <x v="1"/>
    <x v="0"/>
    <n v="1830"/>
    <n v="0"/>
    <m/>
    <n v="360"/>
    <n v="0"/>
    <x v="0"/>
    <s v="N"/>
  </r>
  <r>
    <x v="339"/>
    <x v="1"/>
    <s v="No"/>
    <n v="0"/>
    <x v="0"/>
    <x v="0"/>
    <n v="4160"/>
    <n v="0"/>
    <n v="71"/>
    <n v="360"/>
    <n v="1"/>
    <x v="2"/>
    <s v="Y"/>
  </r>
  <r>
    <x v="340"/>
    <x v="0"/>
    <s v="Yes"/>
    <n v="3"/>
    <x v="1"/>
    <x v="0"/>
    <n v="2647"/>
    <n v="1587"/>
    <n v="173"/>
    <n v="360"/>
    <n v="1"/>
    <x v="1"/>
    <s v="N"/>
  </r>
  <r>
    <x v="341"/>
    <x v="1"/>
    <s v="No"/>
    <n v="0"/>
    <x v="0"/>
    <x v="0"/>
    <n v="2378"/>
    <n v="0"/>
    <n v="46"/>
    <n v="360"/>
    <n v="1"/>
    <x v="1"/>
    <s v="N"/>
  </r>
  <r>
    <x v="342"/>
    <x v="0"/>
    <s v="Yes"/>
    <n v="1"/>
    <x v="1"/>
    <x v="0"/>
    <n v="4554"/>
    <n v="1229"/>
    <n v="15800"/>
    <n v="360"/>
    <n v="1"/>
    <x v="0"/>
    <s v="Y"/>
  </r>
  <r>
    <x v="343"/>
    <x v="0"/>
    <s v="Yes"/>
    <n v="3"/>
    <x v="1"/>
    <x v="0"/>
    <n v="3173"/>
    <n v="0"/>
    <n v="74"/>
    <n v="360"/>
    <n v="1"/>
    <x v="2"/>
    <s v="Y"/>
  </r>
  <r>
    <x v="344"/>
    <x v="0"/>
    <s v="Yes"/>
    <n v="2"/>
    <x v="0"/>
    <x v="2"/>
    <n v="2583"/>
    <n v="2330"/>
    <n v="125"/>
    <n v="360"/>
    <n v="1"/>
    <x v="1"/>
    <s v="Y"/>
  </r>
  <r>
    <x v="345"/>
    <x v="0"/>
    <s v="Yes"/>
    <n v="0"/>
    <x v="0"/>
    <x v="0"/>
    <n v="2499"/>
    <n v="2458"/>
    <n v="160"/>
    <n v="360"/>
    <n v="1"/>
    <x v="2"/>
    <s v="Y"/>
  </r>
  <r>
    <x v="346"/>
    <x v="0"/>
    <s v="Yes"/>
    <m/>
    <x v="1"/>
    <x v="0"/>
    <n v="3523"/>
    <n v="3230"/>
    <n v="152"/>
    <n v="360"/>
    <n v="0"/>
    <x v="1"/>
    <s v="N"/>
  </r>
  <r>
    <x v="347"/>
    <x v="0"/>
    <s v="Yes"/>
    <n v="2"/>
    <x v="1"/>
    <x v="0"/>
    <n v="3083"/>
    <n v="2168"/>
    <n v="126"/>
    <n v="360"/>
    <n v="1"/>
    <x v="0"/>
    <s v="Y"/>
  </r>
  <r>
    <x v="348"/>
    <x v="0"/>
    <s v="Yes"/>
    <n v="0"/>
    <x v="0"/>
    <x v="0"/>
    <n v="6333"/>
    <n v="4583"/>
    <n v="259"/>
    <n v="360"/>
    <m/>
    <x v="2"/>
    <s v="Y"/>
  </r>
  <r>
    <x v="349"/>
    <x v="0"/>
    <s v="Yes"/>
    <n v="0"/>
    <x v="0"/>
    <x v="0"/>
    <n v="2625"/>
    <n v="6250"/>
    <n v="187"/>
    <n v="360"/>
    <n v="1"/>
    <x v="1"/>
    <s v="Y"/>
  </r>
  <r>
    <x v="350"/>
    <x v="0"/>
    <s v="Yes"/>
    <n v="0"/>
    <x v="0"/>
    <x v="0"/>
    <n v="9083"/>
    <n v="0"/>
    <n v="228"/>
    <n v="360"/>
    <n v="1"/>
    <x v="2"/>
    <s v="Y"/>
  </r>
  <r>
    <x v="351"/>
    <x v="0"/>
    <s v="No"/>
    <n v="0"/>
    <x v="0"/>
    <x v="0"/>
    <n v="8750"/>
    <n v="4167"/>
    <n v="308"/>
    <n v="360"/>
    <n v="1"/>
    <x v="1"/>
    <s v="N"/>
  </r>
  <r>
    <x v="352"/>
    <x v="0"/>
    <s v="Yes"/>
    <n v="3"/>
    <x v="0"/>
    <x v="0"/>
    <n v="2666"/>
    <n v="2083"/>
    <n v="9500"/>
    <n v="360"/>
    <n v="1"/>
    <x v="1"/>
    <s v="Y"/>
  </r>
  <r>
    <x v="353"/>
    <x v="1"/>
    <s v="Yes"/>
    <n v="0"/>
    <x v="0"/>
    <x v="1"/>
    <n v="5500"/>
    <n v="0"/>
    <n v="105"/>
    <n v="360"/>
    <n v="0"/>
    <x v="1"/>
    <s v="N"/>
  </r>
  <r>
    <x v="354"/>
    <x v="1"/>
    <s v="Yes"/>
    <n v="0"/>
    <x v="0"/>
    <x v="0"/>
    <n v="2423"/>
    <n v="505"/>
    <n v="130"/>
    <n v="360"/>
    <n v="1"/>
    <x v="2"/>
    <s v="Y"/>
  </r>
  <r>
    <x v="355"/>
    <x v="1"/>
    <s v="No"/>
    <m/>
    <x v="0"/>
    <x v="0"/>
    <n v="3813"/>
    <n v="0"/>
    <n v="116"/>
    <n v="180"/>
    <n v="1"/>
    <x v="0"/>
    <s v="Y"/>
  </r>
  <r>
    <x v="356"/>
    <x v="0"/>
    <s v="Yes"/>
    <n v="2"/>
    <x v="0"/>
    <x v="0"/>
    <n v="8333"/>
    <n v="3167"/>
    <n v="165"/>
    <n v="360"/>
    <n v="1"/>
    <x v="1"/>
    <s v="Y"/>
  </r>
  <r>
    <x v="357"/>
    <x v="0"/>
    <s v="Yes"/>
    <n v="1"/>
    <x v="0"/>
    <x v="0"/>
    <n v="3875"/>
    <n v="0"/>
    <n v="67"/>
    <n v="360"/>
    <n v="1"/>
    <x v="0"/>
    <s v="N"/>
  </r>
  <r>
    <x v="358"/>
    <x v="0"/>
    <s v="Yes"/>
    <n v="0"/>
    <x v="1"/>
    <x v="0"/>
    <n v="3000"/>
    <n v="1666"/>
    <n v="100"/>
    <n v="480"/>
    <n v="0"/>
    <x v="0"/>
    <s v="N"/>
  </r>
  <r>
    <x v="359"/>
    <x v="0"/>
    <s v="Yes"/>
    <n v="3"/>
    <x v="0"/>
    <x v="0"/>
    <n v="5167"/>
    <n v="3167"/>
    <n v="200"/>
    <n v="360"/>
    <n v="1"/>
    <x v="2"/>
    <s v="Y"/>
  </r>
  <r>
    <x v="360"/>
    <x v="1"/>
    <s v="No"/>
    <n v="1"/>
    <x v="0"/>
    <x v="0"/>
    <n v="4723"/>
    <n v="0"/>
    <n v="81"/>
    <n v="360"/>
    <n v="1"/>
    <x v="2"/>
    <s v="N"/>
  </r>
  <r>
    <x v="361"/>
    <x v="0"/>
    <s v="Yes"/>
    <n v="2"/>
    <x v="0"/>
    <x v="0"/>
    <n v="5000"/>
    <n v="3667"/>
    <n v="236"/>
    <n v="360"/>
    <n v="1"/>
    <x v="2"/>
    <s v="Y"/>
  </r>
  <r>
    <x v="362"/>
    <x v="0"/>
    <s v="Yes"/>
    <n v="0"/>
    <x v="0"/>
    <x v="0"/>
    <n v="4750"/>
    <n v="2333"/>
    <n v="130"/>
    <n v="360"/>
    <n v="1"/>
    <x v="0"/>
    <s v="Y"/>
  </r>
  <r>
    <x v="363"/>
    <x v="0"/>
    <s v="Yes"/>
    <n v="0"/>
    <x v="0"/>
    <x v="0"/>
    <n v="3013"/>
    <n v="3033"/>
    <n v="95"/>
    <n v="300"/>
    <m/>
    <x v="0"/>
    <s v="Y"/>
  </r>
  <r>
    <x v="364"/>
    <x v="0"/>
    <s v="No"/>
    <n v="0"/>
    <x v="0"/>
    <x v="1"/>
    <n v="6822"/>
    <n v="0"/>
    <n v="141"/>
    <n v="360"/>
    <n v="1"/>
    <x v="1"/>
    <s v="Y"/>
  </r>
  <r>
    <x v="365"/>
    <x v="0"/>
    <s v="No"/>
    <n v="0"/>
    <x v="1"/>
    <x v="0"/>
    <n v="6216"/>
    <n v="0"/>
    <n v="133"/>
    <n v="360"/>
    <n v="1"/>
    <x v="1"/>
    <s v="N"/>
  </r>
  <r>
    <x v="366"/>
    <x v="0"/>
    <s v="No"/>
    <n v="0"/>
    <x v="0"/>
    <x v="0"/>
    <n v="2500"/>
    <n v="0"/>
    <n v="96"/>
    <n v="480"/>
    <n v="1"/>
    <x v="2"/>
    <s v="N"/>
  </r>
  <r>
    <x v="367"/>
    <x v="0"/>
    <s v="No"/>
    <n v="0"/>
    <x v="0"/>
    <x v="0"/>
    <n v="5124"/>
    <n v="0"/>
    <n v="124"/>
    <m/>
    <n v="0"/>
    <x v="1"/>
    <s v="N"/>
  </r>
  <r>
    <x v="368"/>
    <x v="0"/>
    <s v="Yes"/>
    <n v="1"/>
    <x v="0"/>
    <x v="0"/>
    <n v="6325"/>
    <n v="0"/>
    <n v="175"/>
    <n v="360"/>
    <n v="1"/>
    <x v="2"/>
    <s v="Y"/>
  </r>
  <r>
    <x v="369"/>
    <x v="0"/>
    <s v="Yes"/>
    <n v="0"/>
    <x v="0"/>
    <x v="0"/>
    <n v="19730"/>
    <n v="5266"/>
    <n v="570"/>
    <n v="360"/>
    <n v="1"/>
    <x v="1"/>
    <s v="N"/>
  </r>
  <r>
    <x v="370"/>
    <x v="1"/>
    <s v="No"/>
    <n v="0"/>
    <x v="0"/>
    <x v="1"/>
    <n v="15759"/>
    <n v="0"/>
    <n v="55"/>
    <n v="360"/>
    <n v="1"/>
    <x v="2"/>
    <s v="Y"/>
  </r>
  <r>
    <x v="371"/>
    <x v="0"/>
    <s v="Yes"/>
    <n v="2"/>
    <x v="0"/>
    <x v="0"/>
    <n v="5185"/>
    <n v="0"/>
    <n v="155"/>
    <n v="360"/>
    <n v="1"/>
    <x v="2"/>
    <s v="Y"/>
  </r>
  <r>
    <x v="372"/>
    <x v="0"/>
    <s v="Yes"/>
    <n v="2"/>
    <x v="0"/>
    <x v="1"/>
    <n v="9323"/>
    <n v="7873"/>
    <n v="380"/>
    <n v="300"/>
    <n v="1"/>
    <x v="1"/>
    <s v="Y"/>
  </r>
  <r>
    <x v="373"/>
    <x v="0"/>
    <s v="No"/>
    <n v="1"/>
    <x v="0"/>
    <x v="0"/>
    <n v="3062"/>
    <n v="1987"/>
    <n v="111"/>
    <n v="180"/>
    <n v="0"/>
    <x v="0"/>
    <s v="N"/>
  </r>
  <r>
    <x v="374"/>
    <x v="1"/>
    <s v="No"/>
    <n v="0"/>
    <x v="0"/>
    <x v="2"/>
    <n v="2764"/>
    <n v="1459"/>
    <n v="110"/>
    <n v="360"/>
    <n v="1"/>
    <x v="0"/>
    <s v="Y"/>
  </r>
  <r>
    <x v="375"/>
    <x v="0"/>
    <s v="Yes"/>
    <n v="0"/>
    <x v="0"/>
    <x v="0"/>
    <n v="4817"/>
    <n v="923"/>
    <n v="120"/>
    <n v="180"/>
    <n v="1"/>
    <x v="0"/>
    <s v="Y"/>
  </r>
  <r>
    <x v="376"/>
    <x v="0"/>
    <s v="Yes"/>
    <n v="3"/>
    <x v="0"/>
    <x v="0"/>
    <n v="8750"/>
    <n v="4996"/>
    <n v="130"/>
    <n v="360"/>
    <n v="1"/>
    <x v="1"/>
    <s v="Y"/>
  </r>
  <r>
    <x v="377"/>
    <x v="0"/>
    <s v="Yes"/>
    <n v="0"/>
    <x v="0"/>
    <x v="0"/>
    <n v="4310"/>
    <n v="0"/>
    <n v="130"/>
    <n v="360"/>
    <m/>
    <x v="2"/>
    <s v="Y"/>
  </r>
  <r>
    <x v="378"/>
    <x v="0"/>
    <s v="No"/>
    <n v="0"/>
    <x v="0"/>
    <x v="0"/>
    <n v="3069"/>
    <n v="0"/>
    <n v="71"/>
    <n v="480"/>
    <n v="1"/>
    <x v="0"/>
    <s v="N"/>
  </r>
  <r>
    <x v="379"/>
    <x v="0"/>
    <s v="Yes"/>
    <n v="2"/>
    <x v="0"/>
    <x v="0"/>
    <n v="5391"/>
    <n v="0"/>
    <n v="130"/>
    <n v="360"/>
    <n v="1"/>
    <x v="0"/>
    <s v="Y"/>
  </r>
  <r>
    <x v="380"/>
    <x v="0"/>
    <s v="Yes"/>
    <n v="0"/>
    <x v="0"/>
    <x v="2"/>
    <n v="3333"/>
    <n v="2500"/>
    <n v="128"/>
    <n v="360"/>
    <n v="1"/>
    <x v="2"/>
    <s v="Y"/>
  </r>
  <r>
    <x v="381"/>
    <x v="0"/>
    <s v="No"/>
    <n v="0"/>
    <x v="0"/>
    <x v="0"/>
    <n v="5941"/>
    <n v="4232"/>
    <n v="296"/>
    <n v="360"/>
    <n v="1"/>
    <x v="2"/>
    <s v="Y"/>
  </r>
  <r>
    <x v="382"/>
    <x v="1"/>
    <s v="No"/>
    <n v="0"/>
    <x v="0"/>
    <x v="0"/>
    <n v="6000"/>
    <n v="0"/>
    <n v="156"/>
    <n v="360"/>
    <n v="1"/>
    <x v="0"/>
    <s v="Y"/>
  </r>
  <r>
    <x v="383"/>
    <x v="0"/>
    <s v="No"/>
    <n v="0"/>
    <x v="0"/>
    <x v="1"/>
    <n v="7167"/>
    <n v="0"/>
    <n v="128"/>
    <n v="360"/>
    <n v="1"/>
    <x v="0"/>
    <s v="Y"/>
  </r>
  <r>
    <x v="384"/>
    <x v="0"/>
    <s v="Yes"/>
    <n v="2"/>
    <x v="0"/>
    <x v="0"/>
    <n v="4566"/>
    <n v="0"/>
    <n v="100"/>
    <n v="360"/>
    <n v="1"/>
    <x v="0"/>
    <s v="N"/>
  </r>
  <r>
    <x v="385"/>
    <x v="0"/>
    <s v="No"/>
    <n v="1"/>
    <x v="0"/>
    <x v="2"/>
    <n v="3667"/>
    <n v="0"/>
    <n v="113"/>
    <n v="180"/>
    <n v="1"/>
    <x v="0"/>
    <s v="Y"/>
  </r>
  <r>
    <x v="386"/>
    <x v="0"/>
    <s v="No"/>
    <n v="0"/>
    <x v="1"/>
    <x v="0"/>
    <n v="2346"/>
    <n v="1600"/>
    <n v="132"/>
    <n v="360"/>
    <n v="1"/>
    <x v="2"/>
    <s v="Y"/>
  </r>
  <r>
    <x v="387"/>
    <x v="0"/>
    <s v="Yes"/>
    <n v="0"/>
    <x v="1"/>
    <x v="0"/>
    <n v="3010"/>
    <n v="3136"/>
    <m/>
    <n v="360"/>
    <n v="0"/>
    <x v="0"/>
    <s v="N"/>
  </r>
  <r>
    <x v="388"/>
    <x v="0"/>
    <s v="Yes"/>
    <n v="0"/>
    <x v="0"/>
    <x v="0"/>
    <n v="2333"/>
    <n v="2417"/>
    <n v="136"/>
    <n v="360"/>
    <n v="1"/>
    <x v="0"/>
    <s v="Y"/>
  </r>
  <r>
    <x v="389"/>
    <x v="0"/>
    <s v="Yes"/>
    <n v="0"/>
    <x v="0"/>
    <x v="0"/>
    <n v="5488"/>
    <n v="0"/>
    <n v="125"/>
    <n v="360"/>
    <n v="1"/>
    <x v="1"/>
    <s v="Y"/>
  </r>
  <r>
    <x v="390"/>
    <x v="0"/>
    <s v="No"/>
    <n v="3"/>
    <x v="0"/>
    <x v="0"/>
    <n v="9167"/>
    <n v="0"/>
    <n v="185"/>
    <n v="360"/>
    <n v="1"/>
    <x v="1"/>
    <s v="Y"/>
  </r>
  <r>
    <x v="391"/>
    <x v="0"/>
    <s v="Yes"/>
    <n v="3"/>
    <x v="0"/>
    <x v="0"/>
    <n v="9504"/>
    <n v="0"/>
    <n v="275"/>
    <n v="360"/>
    <n v="1"/>
    <x v="1"/>
    <s v="Y"/>
  </r>
  <r>
    <x v="392"/>
    <x v="0"/>
    <s v="Yes"/>
    <n v="0"/>
    <x v="0"/>
    <x v="0"/>
    <n v="2583"/>
    <n v="2115"/>
    <n v="120"/>
    <n v="360"/>
    <m/>
    <x v="0"/>
    <s v="Y"/>
  </r>
  <r>
    <x v="393"/>
    <x v="0"/>
    <s v="Yes"/>
    <n v="2"/>
    <x v="1"/>
    <x v="0"/>
    <n v="1993"/>
    <n v="1625"/>
    <n v="113"/>
    <n v="180"/>
    <n v="1"/>
    <x v="2"/>
    <s v="Y"/>
  </r>
  <r>
    <x v="394"/>
    <x v="0"/>
    <s v="Yes"/>
    <n v="2"/>
    <x v="0"/>
    <x v="0"/>
    <n v="3100"/>
    <n v="1400"/>
    <n v="113"/>
    <n v="360"/>
    <n v="1"/>
    <x v="0"/>
    <s v="Y"/>
  </r>
  <r>
    <x v="395"/>
    <x v="0"/>
    <s v="Yes"/>
    <n v="2"/>
    <x v="0"/>
    <x v="0"/>
    <n v="3276"/>
    <n v="484"/>
    <n v="13500"/>
    <n v="360"/>
    <m/>
    <x v="2"/>
    <s v="Y"/>
  </r>
  <r>
    <x v="396"/>
    <x v="1"/>
    <s v="No"/>
    <n v="0"/>
    <x v="0"/>
    <x v="0"/>
    <n v="3180"/>
    <n v="0"/>
    <n v="71"/>
    <n v="360"/>
    <n v="0"/>
    <x v="0"/>
    <s v="N"/>
  </r>
  <r>
    <x v="397"/>
    <x v="0"/>
    <s v="Yes"/>
    <n v="0"/>
    <x v="0"/>
    <x v="0"/>
    <n v="3033"/>
    <n v="1459"/>
    <n v="95"/>
    <n v="360"/>
    <n v="1"/>
    <x v="0"/>
    <s v="Y"/>
  </r>
  <r>
    <x v="398"/>
    <x v="0"/>
    <s v="No"/>
    <n v="0"/>
    <x v="1"/>
    <x v="0"/>
    <n v="3902"/>
    <n v="1666"/>
    <n v="109"/>
    <n v="360"/>
    <n v="1"/>
    <x v="1"/>
    <s v="Y"/>
  </r>
  <r>
    <x v="399"/>
    <x v="1"/>
    <s v="No"/>
    <n v="0"/>
    <x v="0"/>
    <x v="0"/>
    <n v="1500"/>
    <n v="1800"/>
    <n v="103"/>
    <n v="360"/>
    <n v="0"/>
    <x v="2"/>
    <s v="N"/>
  </r>
  <r>
    <x v="400"/>
    <x v="0"/>
    <s v="Yes"/>
    <n v="2"/>
    <x v="1"/>
    <x v="0"/>
    <n v="2889"/>
    <n v="0"/>
    <n v="4500"/>
    <n v="180"/>
    <n v="0"/>
    <x v="0"/>
    <s v="N"/>
  </r>
  <r>
    <x v="401"/>
    <x v="0"/>
    <s v="No"/>
    <n v="0"/>
    <x v="1"/>
    <x v="0"/>
    <n v="2755"/>
    <n v="0"/>
    <n v="65"/>
    <n v="300"/>
    <n v="1"/>
    <x v="1"/>
    <s v="N"/>
  </r>
  <r>
    <x v="402"/>
    <x v="0"/>
    <s v="No"/>
    <n v="0"/>
    <x v="0"/>
    <x v="0"/>
    <n v="2500"/>
    <n v="20000"/>
    <n v="103"/>
    <n v="360"/>
    <n v="1"/>
    <x v="2"/>
    <s v="Y"/>
  </r>
  <r>
    <x v="403"/>
    <x v="1"/>
    <s v="No"/>
    <n v="0"/>
    <x v="1"/>
    <x v="0"/>
    <n v="1963"/>
    <n v="0"/>
    <n v="53"/>
    <n v="360"/>
    <n v="1"/>
    <x v="2"/>
    <s v="Y"/>
  </r>
  <r>
    <x v="404"/>
    <x v="1"/>
    <s v="No"/>
    <n v="0"/>
    <x v="0"/>
    <x v="1"/>
    <n v="7441"/>
    <n v="0"/>
    <n v="194"/>
    <n v="360"/>
    <n v="1"/>
    <x v="1"/>
    <s v="N"/>
  </r>
  <r>
    <x v="405"/>
    <x v="1"/>
    <s v="No"/>
    <n v="0"/>
    <x v="0"/>
    <x v="0"/>
    <n v="4547"/>
    <n v="0"/>
    <n v="115"/>
    <n v="360"/>
    <n v="1"/>
    <x v="2"/>
    <s v="Y"/>
  </r>
  <r>
    <x v="406"/>
    <x v="0"/>
    <s v="Yes"/>
    <n v="0"/>
    <x v="1"/>
    <x v="0"/>
    <n v="2167"/>
    <n v="2400"/>
    <n v="115"/>
    <n v="360"/>
    <n v="1"/>
    <x v="0"/>
    <s v="Y"/>
  </r>
  <r>
    <x v="407"/>
    <x v="1"/>
    <s v="No"/>
    <n v="0"/>
    <x v="1"/>
    <x v="0"/>
    <n v="2213"/>
    <n v="0"/>
    <n v="66"/>
    <n v="360"/>
    <n v="1"/>
    <x v="1"/>
    <s v="Y"/>
  </r>
  <r>
    <x v="408"/>
    <x v="0"/>
    <s v="Yes"/>
    <n v="1"/>
    <x v="0"/>
    <x v="0"/>
    <n v="8300"/>
    <n v="0"/>
    <n v="152"/>
    <n v="300"/>
    <n v="0"/>
    <x v="2"/>
    <s v="N"/>
  </r>
  <r>
    <x v="409"/>
    <x v="0"/>
    <s v="Yes"/>
    <n v="3"/>
    <x v="0"/>
    <x v="0"/>
    <n v="81000"/>
    <n v="0"/>
    <n v="360"/>
    <n v="360"/>
    <n v="0"/>
    <x v="1"/>
    <s v="N"/>
  </r>
  <r>
    <x v="410"/>
    <x v="1"/>
    <s v="No"/>
    <n v="1"/>
    <x v="1"/>
    <x v="1"/>
    <n v="3867"/>
    <n v="0"/>
    <n v="62"/>
    <n v="360"/>
    <n v="1"/>
    <x v="2"/>
    <s v="N"/>
  </r>
  <r>
    <x v="411"/>
    <x v="0"/>
    <s v="Yes"/>
    <n v="0"/>
    <x v="0"/>
    <x v="2"/>
    <n v="6256"/>
    <n v="0"/>
    <n v="160"/>
    <n v="360"/>
    <m/>
    <x v="0"/>
    <s v="Y"/>
  </r>
  <r>
    <x v="412"/>
    <x v="0"/>
    <s v="Yes"/>
    <n v="0"/>
    <x v="1"/>
    <x v="0"/>
    <n v="6096"/>
    <n v="0"/>
    <n v="218"/>
    <n v="360"/>
    <n v="0"/>
    <x v="1"/>
    <s v="N"/>
  </r>
  <r>
    <x v="413"/>
    <x v="0"/>
    <s v="Yes"/>
    <n v="0"/>
    <x v="1"/>
    <x v="0"/>
    <n v="2253"/>
    <n v="2033"/>
    <n v="110"/>
    <n v="360"/>
    <n v="1"/>
    <x v="1"/>
    <s v="Y"/>
  </r>
  <r>
    <x v="414"/>
    <x v="1"/>
    <s v="Yes"/>
    <n v="0"/>
    <x v="1"/>
    <x v="0"/>
    <n v="2149"/>
    <n v="3237"/>
    <n v="178"/>
    <n v="360"/>
    <n v="0"/>
    <x v="2"/>
    <s v="N"/>
  </r>
  <r>
    <x v="415"/>
    <x v="1"/>
    <s v="No"/>
    <n v="0"/>
    <x v="0"/>
    <x v="0"/>
    <n v="2995"/>
    <n v="0"/>
    <n v="60"/>
    <n v="360"/>
    <n v="1"/>
    <x v="0"/>
    <s v="Y"/>
  </r>
  <r>
    <x v="416"/>
    <x v="1"/>
    <s v="No"/>
    <n v="1"/>
    <x v="0"/>
    <x v="0"/>
    <n v="2600"/>
    <n v="0"/>
    <n v="160"/>
    <n v="360"/>
    <n v="1"/>
    <x v="0"/>
    <s v="N"/>
  </r>
  <r>
    <x v="417"/>
    <x v="0"/>
    <s v="Yes"/>
    <n v="2"/>
    <x v="0"/>
    <x v="1"/>
    <n v="1600"/>
    <n v="20000"/>
    <n v="239"/>
    <n v="360"/>
    <n v="1"/>
    <x v="0"/>
    <s v="N"/>
  </r>
  <r>
    <x v="418"/>
    <x v="0"/>
    <s v="Yes"/>
    <n v="0"/>
    <x v="0"/>
    <x v="0"/>
    <n v="1025"/>
    <n v="2773"/>
    <n v="112"/>
    <n v="360"/>
    <n v="1"/>
    <x v="1"/>
    <s v="Y"/>
  </r>
  <r>
    <x v="419"/>
    <x v="0"/>
    <s v="Yes"/>
    <n v="0"/>
    <x v="0"/>
    <x v="0"/>
    <n v="3246"/>
    <n v="1417"/>
    <n v="138"/>
    <n v="360"/>
    <n v="1"/>
    <x v="2"/>
    <s v="Y"/>
  </r>
  <r>
    <x v="420"/>
    <x v="0"/>
    <s v="Yes"/>
    <n v="0"/>
    <x v="0"/>
    <x v="0"/>
    <n v="5829"/>
    <n v="0"/>
    <n v="138"/>
    <n v="360"/>
    <n v="1"/>
    <x v="1"/>
    <s v="Y"/>
  </r>
  <r>
    <x v="421"/>
    <x v="1"/>
    <s v="No"/>
    <n v="0"/>
    <x v="1"/>
    <x v="0"/>
    <n v="2720"/>
    <n v="0"/>
    <n v="80"/>
    <m/>
    <n v="0"/>
    <x v="0"/>
    <s v="N"/>
  </r>
  <r>
    <x v="422"/>
    <x v="0"/>
    <s v="Yes"/>
    <n v="0"/>
    <x v="0"/>
    <x v="0"/>
    <n v="1820"/>
    <n v="1719"/>
    <n v="100"/>
    <n v="360"/>
    <n v="1"/>
    <x v="0"/>
    <s v="Y"/>
  </r>
  <r>
    <x v="423"/>
    <x v="0"/>
    <s v="Yes"/>
    <n v="1"/>
    <x v="0"/>
    <x v="0"/>
    <n v="7250"/>
    <n v="1667"/>
    <n v="110"/>
    <m/>
    <n v="0"/>
    <x v="0"/>
    <s v="N"/>
  </r>
  <r>
    <x v="424"/>
    <x v="0"/>
    <s v="Yes"/>
    <n v="0"/>
    <x v="0"/>
    <x v="0"/>
    <n v="14880"/>
    <n v="0"/>
    <n v="96"/>
    <n v="360"/>
    <n v="1"/>
    <x v="2"/>
    <s v="Y"/>
  </r>
  <r>
    <x v="425"/>
    <x v="0"/>
    <s v="Yes"/>
    <n v="0"/>
    <x v="0"/>
    <x v="0"/>
    <n v="2666"/>
    <n v="4300"/>
    <n v="121"/>
    <n v="360"/>
    <n v="1"/>
    <x v="1"/>
    <s v="Y"/>
  </r>
  <r>
    <x v="426"/>
    <x v="1"/>
    <s v="No"/>
    <n v="1"/>
    <x v="1"/>
    <x v="0"/>
    <n v="4606"/>
    <n v="0"/>
    <n v="81"/>
    <n v="360"/>
    <n v="1"/>
    <x v="1"/>
    <s v="N"/>
  </r>
  <r>
    <x v="427"/>
    <x v="0"/>
    <s v="Yes"/>
    <n v="2"/>
    <x v="0"/>
    <x v="0"/>
    <n v="5935"/>
    <n v="0"/>
    <n v="133"/>
    <n v="360"/>
    <n v="1"/>
    <x v="2"/>
    <s v="Y"/>
  </r>
  <r>
    <x v="428"/>
    <x v="0"/>
    <s v="Yes"/>
    <n v="0"/>
    <x v="0"/>
    <x v="0"/>
    <n v="2920"/>
    <n v="16"/>
    <n v="87"/>
    <n v="360"/>
    <n v="1"/>
    <x v="1"/>
    <s v="Y"/>
  </r>
  <r>
    <x v="429"/>
    <x v="0"/>
    <s v="No"/>
    <n v="0"/>
    <x v="1"/>
    <x v="0"/>
    <n v="2717"/>
    <n v="0"/>
    <n v="60"/>
    <n v="180"/>
    <n v="1"/>
    <x v="0"/>
    <s v="Y"/>
  </r>
  <r>
    <x v="430"/>
    <x v="1"/>
    <s v="No"/>
    <n v="1"/>
    <x v="0"/>
    <x v="1"/>
    <n v="8624"/>
    <n v="0"/>
    <n v="150"/>
    <n v="360"/>
    <n v="1"/>
    <x v="2"/>
    <s v="Y"/>
  </r>
  <r>
    <x v="431"/>
    <x v="0"/>
    <s v="No"/>
    <n v="0"/>
    <x v="0"/>
    <x v="0"/>
    <n v="6500"/>
    <n v="0"/>
    <n v="105"/>
    <n v="360"/>
    <n v="0"/>
    <x v="1"/>
    <s v="N"/>
  </r>
  <r>
    <x v="432"/>
    <x v="0"/>
    <s v="No"/>
    <n v="0"/>
    <x v="0"/>
    <x v="2"/>
    <n v="12876"/>
    <n v="0"/>
    <n v="405"/>
    <n v="360"/>
    <n v="1"/>
    <x v="2"/>
    <s v="Y"/>
  </r>
  <r>
    <x v="433"/>
    <x v="0"/>
    <s v="Yes"/>
    <n v="0"/>
    <x v="0"/>
    <x v="0"/>
    <n v="2425"/>
    <n v="2340"/>
    <n v="143"/>
    <n v="360"/>
    <n v="1"/>
    <x v="2"/>
    <s v="Y"/>
  </r>
  <r>
    <x v="434"/>
    <x v="0"/>
    <s v="No"/>
    <n v="0"/>
    <x v="0"/>
    <x v="0"/>
    <n v="3750"/>
    <n v="0"/>
    <n v="100"/>
    <n v="360"/>
    <n v="1"/>
    <x v="0"/>
    <s v="Y"/>
  </r>
  <r>
    <x v="435"/>
    <x v="1"/>
    <s v=""/>
    <m/>
    <x v="0"/>
    <x v="0"/>
    <n v="10047"/>
    <n v="0"/>
    <n v="20000"/>
    <n v="240"/>
    <n v="1"/>
    <x v="2"/>
    <s v="Y"/>
  </r>
  <r>
    <x v="436"/>
    <x v="0"/>
    <s v="No"/>
    <n v="0"/>
    <x v="0"/>
    <x v="0"/>
    <n v="1926"/>
    <n v="1851"/>
    <n v="50"/>
    <n v="360"/>
    <n v="1"/>
    <x v="2"/>
    <s v="Y"/>
  </r>
  <r>
    <x v="437"/>
    <x v="0"/>
    <s v="Yes"/>
    <n v="0"/>
    <x v="0"/>
    <x v="0"/>
    <n v="2213"/>
    <n v="1125"/>
    <m/>
    <n v="360"/>
    <n v="1"/>
    <x v="0"/>
    <s v="Y"/>
  </r>
  <r>
    <x v="438"/>
    <x v="0"/>
    <s v="No"/>
    <n v="0"/>
    <x v="0"/>
    <x v="1"/>
    <n v="10416"/>
    <n v="0"/>
    <n v="187"/>
    <n v="360"/>
    <n v="0"/>
    <x v="0"/>
    <s v="N"/>
  </r>
  <r>
    <x v="439"/>
    <x v="1"/>
    <s v="Yes"/>
    <n v="0"/>
    <x v="1"/>
    <x v="1"/>
    <n v="7142"/>
    <n v="0"/>
    <n v="138"/>
    <n v="360"/>
    <n v="1"/>
    <x v="1"/>
    <s v="Y"/>
  </r>
  <r>
    <x v="440"/>
    <x v="0"/>
    <s v="No"/>
    <n v="0"/>
    <x v="0"/>
    <x v="0"/>
    <n v="3660"/>
    <n v="5064"/>
    <n v="187"/>
    <n v="360"/>
    <n v="1"/>
    <x v="2"/>
    <s v="Y"/>
  </r>
  <r>
    <x v="441"/>
    <x v="0"/>
    <s v="Yes"/>
    <n v="0"/>
    <x v="0"/>
    <x v="0"/>
    <n v="7901"/>
    <n v="1833"/>
    <n v="180"/>
    <n v="360"/>
    <n v="1"/>
    <x v="1"/>
    <s v="Y"/>
  </r>
  <r>
    <x v="442"/>
    <x v="0"/>
    <s v="No"/>
    <n v="3"/>
    <x v="1"/>
    <x v="0"/>
    <n v="4707"/>
    <n v="1993"/>
    <n v="148"/>
    <n v="360"/>
    <n v="1"/>
    <x v="2"/>
    <s v="Y"/>
  </r>
  <r>
    <x v="443"/>
    <x v="0"/>
    <s v="No"/>
    <n v="1"/>
    <x v="0"/>
    <x v="0"/>
    <n v="37719"/>
    <n v="0"/>
    <n v="152"/>
    <n v="360"/>
    <n v="1"/>
    <x v="2"/>
    <s v="Y"/>
  </r>
  <r>
    <x v="444"/>
    <x v="0"/>
    <s v="Yes"/>
    <n v="0"/>
    <x v="0"/>
    <x v="0"/>
    <n v="7333"/>
    <n v="8333"/>
    <n v="175"/>
    <n v="300"/>
    <m/>
    <x v="1"/>
    <s v="Y"/>
  </r>
  <r>
    <x v="445"/>
    <x v="0"/>
    <s v="Yes"/>
    <n v="1"/>
    <x v="0"/>
    <x v="1"/>
    <n v="3466"/>
    <n v="1210"/>
    <n v="130"/>
    <n v="360"/>
    <n v="1"/>
    <x v="1"/>
    <s v="Y"/>
  </r>
  <r>
    <x v="446"/>
    <x v="0"/>
    <s v="Yes"/>
    <n v="2"/>
    <x v="1"/>
    <x v="0"/>
    <n v="4652"/>
    <n v="0"/>
    <n v="110"/>
    <n v="360"/>
    <n v="1"/>
    <x v="1"/>
    <s v="Y"/>
  </r>
  <r>
    <x v="447"/>
    <x v="0"/>
    <s v="Yes"/>
    <n v="0"/>
    <x v="0"/>
    <x v="2"/>
    <n v="3539"/>
    <n v="1376"/>
    <n v="55"/>
    <n v="360"/>
    <n v="1"/>
    <x v="1"/>
    <s v="N"/>
  </r>
  <r>
    <x v="448"/>
    <x v="0"/>
    <s v="Yes"/>
    <n v="2"/>
    <x v="0"/>
    <x v="0"/>
    <n v="3340"/>
    <n v="1710"/>
    <n v="150"/>
    <n v="360"/>
    <n v="0"/>
    <x v="1"/>
    <s v="N"/>
  </r>
  <r>
    <x v="449"/>
    <x v="0"/>
    <s v="No"/>
    <n v="1"/>
    <x v="1"/>
    <x v="1"/>
    <n v="2769"/>
    <n v="1542"/>
    <n v="190"/>
    <n v="360"/>
    <m/>
    <x v="2"/>
    <s v="N"/>
  </r>
  <r>
    <x v="450"/>
    <x v="0"/>
    <s v="Yes"/>
    <n v="2"/>
    <x v="1"/>
    <x v="0"/>
    <n v="2309"/>
    <n v="1255"/>
    <n v="125"/>
    <n v="360"/>
    <n v="0"/>
    <x v="1"/>
    <s v="N"/>
  </r>
  <r>
    <x v="451"/>
    <x v="0"/>
    <s v="Yes"/>
    <n v="2"/>
    <x v="1"/>
    <x v="0"/>
    <n v="1958"/>
    <n v="1456"/>
    <n v="60"/>
    <n v="300"/>
    <m/>
    <x v="0"/>
    <s v="Y"/>
  </r>
  <r>
    <x v="452"/>
    <x v="0"/>
    <s v="Yes"/>
    <n v="0"/>
    <x v="0"/>
    <x v="0"/>
    <n v="3948"/>
    <n v="1733"/>
    <n v="149"/>
    <n v="360"/>
    <n v="0"/>
    <x v="1"/>
    <s v="N"/>
  </r>
  <r>
    <x v="453"/>
    <x v="0"/>
    <s v="Yes"/>
    <n v="0"/>
    <x v="0"/>
    <x v="0"/>
    <n v="2483"/>
    <n v="2466"/>
    <n v="90"/>
    <n v="180"/>
    <n v="0"/>
    <x v="1"/>
    <s v="Y"/>
  </r>
  <r>
    <x v="454"/>
    <x v="0"/>
    <s v="No"/>
    <n v="0"/>
    <x v="0"/>
    <x v="1"/>
    <n v="7085"/>
    <n v="0"/>
    <n v="84"/>
    <n v="360"/>
    <n v="1"/>
    <x v="2"/>
    <s v="Y"/>
  </r>
  <r>
    <x v="455"/>
    <x v="0"/>
    <s v="Yes"/>
    <n v="2"/>
    <x v="0"/>
    <x v="0"/>
    <n v="3859"/>
    <n v="0"/>
    <n v="96"/>
    <n v="360"/>
    <n v="1"/>
    <x v="2"/>
    <s v="Y"/>
  </r>
  <r>
    <x v="456"/>
    <x v="0"/>
    <s v="Yes"/>
    <n v="0"/>
    <x v="0"/>
    <x v="0"/>
    <n v="4301"/>
    <n v="0"/>
    <n v="118"/>
    <n v="360"/>
    <n v="1"/>
    <x v="0"/>
    <s v="Y"/>
  </r>
  <r>
    <x v="457"/>
    <x v="0"/>
    <s v="Yes"/>
    <n v="0"/>
    <x v="0"/>
    <x v="0"/>
    <n v="3708"/>
    <n v="2569"/>
    <n v="173"/>
    <n v="360"/>
    <n v="1"/>
    <x v="0"/>
    <s v="N"/>
  </r>
  <r>
    <x v="458"/>
    <x v="0"/>
    <s v="No"/>
    <n v="2"/>
    <x v="0"/>
    <x v="0"/>
    <n v="4354"/>
    <n v="0"/>
    <n v="136"/>
    <n v="360"/>
    <n v="1"/>
    <x v="1"/>
    <s v="Y"/>
  </r>
  <r>
    <x v="459"/>
    <x v="0"/>
    <s v="Yes"/>
    <n v="0"/>
    <x v="0"/>
    <x v="0"/>
    <n v="8334"/>
    <n v="0"/>
    <n v="160"/>
    <n v="360"/>
    <n v="1"/>
    <x v="2"/>
    <s v="N"/>
  </r>
  <r>
    <x v="460"/>
    <x v="2"/>
    <s v="Yes"/>
    <n v="0"/>
    <x v="0"/>
    <x v="1"/>
    <n v="2083"/>
    <n v="4083"/>
    <n v="160"/>
    <n v="360"/>
    <m/>
    <x v="2"/>
    <s v="Y"/>
  </r>
  <r>
    <x v="461"/>
    <x v="0"/>
    <s v="Yes"/>
    <n v="3"/>
    <x v="0"/>
    <x v="0"/>
    <n v="7740"/>
    <n v="0"/>
    <n v="128"/>
    <n v="180"/>
    <n v="1"/>
    <x v="0"/>
    <s v="Y"/>
  </r>
  <r>
    <x v="462"/>
    <x v="0"/>
    <s v="Yes"/>
    <n v="0"/>
    <x v="0"/>
    <x v="0"/>
    <n v="3015"/>
    <n v="2188"/>
    <n v="153"/>
    <n v="360"/>
    <n v="1"/>
    <x v="1"/>
    <s v="Y"/>
  </r>
  <r>
    <x v="463"/>
    <x v="1"/>
    <s v="No"/>
    <n v="1"/>
    <x v="1"/>
    <x v="2"/>
    <n v="5191"/>
    <n v="0"/>
    <n v="132"/>
    <n v="360"/>
    <n v="1"/>
    <x v="2"/>
    <s v="Y"/>
  </r>
  <r>
    <x v="464"/>
    <x v="0"/>
    <s v="No"/>
    <n v="0"/>
    <x v="0"/>
    <x v="0"/>
    <n v="4166"/>
    <n v="0"/>
    <n v="98"/>
    <n v="360"/>
    <n v="0"/>
    <x v="2"/>
    <s v="N"/>
  </r>
  <r>
    <x v="465"/>
    <x v="0"/>
    <s v="No"/>
    <n v="0"/>
    <x v="0"/>
    <x v="0"/>
    <n v="6000"/>
    <n v="0"/>
    <n v="140"/>
    <n v="360"/>
    <n v="1"/>
    <x v="1"/>
    <s v="Y"/>
  </r>
  <r>
    <x v="466"/>
    <x v="0"/>
    <s v="Yes"/>
    <n v="3"/>
    <x v="1"/>
    <x v="0"/>
    <n v="2947"/>
    <n v="1664"/>
    <n v="70"/>
    <n v="180"/>
    <n v="0"/>
    <x v="0"/>
    <s v="N"/>
  </r>
  <r>
    <x v="467"/>
    <x v="2"/>
    <s v="Yes"/>
    <n v="0"/>
    <x v="0"/>
    <x v="0"/>
    <n v="16692"/>
    <n v="0"/>
    <n v="110"/>
    <n v="360"/>
    <n v="1"/>
    <x v="2"/>
    <s v="Y"/>
  </r>
  <r>
    <x v="468"/>
    <x v="1"/>
    <s v="Yes"/>
    <n v="2"/>
    <x v="1"/>
    <x v="2"/>
    <n v="210"/>
    <n v="2917"/>
    <n v="98"/>
    <n v="360"/>
    <n v="1"/>
    <x v="2"/>
    <s v="Y"/>
  </r>
  <r>
    <x v="469"/>
    <x v="0"/>
    <s v="Yes"/>
    <n v="0"/>
    <x v="0"/>
    <x v="0"/>
    <n v="4333"/>
    <n v="2451"/>
    <n v="110"/>
    <n v="360"/>
    <n v="1"/>
    <x v="0"/>
    <s v="N"/>
  </r>
  <r>
    <x v="470"/>
    <x v="0"/>
    <s v="Yes"/>
    <n v="1"/>
    <x v="0"/>
    <x v="1"/>
    <n v="3450"/>
    <n v="2079"/>
    <n v="162"/>
    <n v="360"/>
    <n v="1"/>
    <x v="2"/>
    <s v="Y"/>
  </r>
  <r>
    <x v="471"/>
    <x v="0"/>
    <s v="Yes"/>
    <n v="1"/>
    <x v="1"/>
    <x v="0"/>
    <n v="2653"/>
    <n v="1500"/>
    <n v="113"/>
    <n v="180"/>
    <n v="0"/>
    <x v="1"/>
    <s v="N"/>
  </r>
  <r>
    <x v="472"/>
    <x v="0"/>
    <s v="Yes"/>
    <n v="3"/>
    <x v="0"/>
    <x v="0"/>
    <n v="4691"/>
    <n v="0"/>
    <n v="100"/>
    <n v="360"/>
    <n v="1"/>
    <x v="2"/>
    <s v="Y"/>
  </r>
  <r>
    <x v="473"/>
    <x v="1"/>
    <s v="No"/>
    <n v="0"/>
    <x v="0"/>
    <x v="1"/>
    <n v="2500"/>
    <n v="0"/>
    <n v="93"/>
    <n v="360"/>
    <m/>
    <x v="0"/>
    <s v="Y"/>
  </r>
  <r>
    <x v="474"/>
    <x v="0"/>
    <s v="No"/>
    <n v="2"/>
    <x v="0"/>
    <x v="0"/>
    <n v="5532"/>
    <n v="4648"/>
    <n v="162"/>
    <n v="360"/>
    <n v="1"/>
    <x v="1"/>
    <s v="Y"/>
  </r>
  <r>
    <x v="475"/>
    <x v="0"/>
    <s v="Yes"/>
    <n v="2"/>
    <x v="0"/>
    <x v="1"/>
    <n v="16525"/>
    <n v="1014"/>
    <n v="150"/>
    <n v="360"/>
    <n v="1"/>
    <x v="1"/>
    <s v="Y"/>
  </r>
  <r>
    <x v="476"/>
    <x v="0"/>
    <s v="Yes"/>
    <n v="2"/>
    <x v="0"/>
    <x v="0"/>
    <n v="6700"/>
    <n v="1750"/>
    <n v="230"/>
    <n v="300"/>
    <n v="1"/>
    <x v="2"/>
    <s v="Y"/>
  </r>
  <r>
    <x v="477"/>
    <x v="2"/>
    <s v="Yes"/>
    <n v="2"/>
    <x v="0"/>
    <x v="0"/>
    <n v="2873"/>
    <n v="1872"/>
    <n v="132"/>
    <n v="360"/>
    <n v="0"/>
    <x v="2"/>
    <s v="N"/>
  </r>
  <r>
    <x v="478"/>
    <x v="0"/>
    <s v="Yes"/>
    <n v="1"/>
    <x v="0"/>
    <x v="1"/>
    <n v="16667"/>
    <n v="2250"/>
    <n v="86"/>
    <n v="360"/>
    <n v="1"/>
    <x v="2"/>
    <s v="Y"/>
  </r>
  <r>
    <x v="479"/>
    <x v="0"/>
    <s v="Yes"/>
    <n v="2"/>
    <x v="0"/>
    <x v="0"/>
    <n v="2947"/>
    <n v="1603"/>
    <m/>
    <n v="360"/>
    <n v="1"/>
    <x v="0"/>
    <s v="N"/>
  </r>
  <r>
    <x v="480"/>
    <x v="1"/>
    <s v="No"/>
    <n v="0"/>
    <x v="1"/>
    <x v="0"/>
    <n v="4350"/>
    <n v="0"/>
    <n v="154"/>
    <n v="360"/>
    <n v="1"/>
    <x v="1"/>
    <s v="Y"/>
  </r>
  <r>
    <x v="481"/>
    <x v="0"/>
    <s v="Yes"/>
    <n v="3"/>
    <x v="1"/>
    <x v="0"/>
    <n v="3095"/>
    <n v="0"/>
    <n v="113"/>
    <n v="360"/>
    <n v="1"/>
    <x v="1"/>
    <s v="Y"/>
  </r>
  <r>
    <x v="482"/>
    <x v="0"/>
    <s v="Yes"/>
    <n v="0"/>
    <x v="0"/>
    <x v="0"/>
    <n v="2083"/>
    <n v="3150"/>
    <n v="128"/>
    <n v="360"/>
    <n v="1"/>
    <x v="2"/>
    <s v="Y"/>
  </r>
  <r>
    <x v="483"/>
    <x v="0"/>
    <s v="Yes"/>
    <n v="0"/>
    <x v="0"/>
    <x v="0"/>
    <n v="10833"/>
    <n v="0"/>
    <n v="234"/>
    <n v="360"/>
    <n v="1"/>
    <x v="2"/>
    <s v="Y"/>
  </r>
  <r>
    <x v="484"/>
    <x v="0"/>
    <s v="Yes"/>
    <n v="2"/>
    <x v="0"/>
    <x v="0"/>
    <n v="8333"/>
    <n v="0"/>
    <n v="246"/>
    <n v="360"/>
    <n v="1"/>
    <x v="2"/>
    <s v="Y"/>
  </r>
  <r>
    <x v="485"/>
    <x v="0"/>
    <s v="Yes"/>
    <n v="1"/>
    <x v="1"/>
    <x v="0"/>
    <n v="1958"/>
    <n v="2436"/>
    <n v="131"/>
    <n v="360"/>
    <n v="1"/>
    <x v="1"/>
    <s v="Y"/>
  </r>
  <r>
    <x v="486"/>
    <x v="0"/>
    <s v="No"/>
    <n v="2"/>
    <x v="0"/>
    <x v="0"/>
    <n v="3547"/>
    <n v="0"/>
    <n v="80"/>
    <n v="360"/>
    <n v="0"/>
    <x v="1"/>
    <s v="N"/>
  </r>
  <r>
    <x v="487"/>
    <x v="0"/>
    <s v="Yes"/>
    <n v="1"/>
    <x v="0"/>
    <x v="0"/>
    <n v="18333"/>
    <n v="0"/>
    <n v="500"/>
    <n v="360"/>
    <n v="1"/>
    <x v="0"/>
    <s v="N"/>
  </r>
  <r>
    <x v="488"/>
    <x v="0"/>
    <s v="Yes"/>
    <n v="2"/>
    <x v="0"/>
    <x v="1"/>
    <n v="4583"/>
    <n v="2083"/>
    <n v="160"/>
    <n v="360"/>
    <n v="1"/>
    <x v="2"/>
    <s v="Y"/>
  </r>
  <r>
    <x v="489"/>
    <x v="0"/>
    <s v="No"/>
    <n v="0"/>
    <x v="0"/>
    <x v="0"/>
    <n v="2435"/>
    <n v="0"/>
    <n v="75"/>
    <n v="360"/>
    <n v="1"/>
    <x v="0"/>
    <s v="N"/>
  </r>
  <r>
    <x v="490"/>
    <x v="0"/>
    <s v="No"/>
    <n v="0"/>
    <x v="1"/>
    <x v="0"/>
    <n v="2699"/>
    <n v="2785"/>
    <n v="96"/>
    <n v="360"/>
    <m/>
    <x v="2"/>
    <s v="Y"/>
  </r>
  <r>
    <x v="491"/>
    <x v="0"/>
    <s v="Yes"/>
    <n v="1"/>
    <x v="1"/>
    <x v="0"/>
    <n v="5333"/>
    <n v="1131"/>
    <n v="186"/>
    <n v="360"/>
    <m/>
    <x v="0"/>
    <s v="Y"/>
  </r>
  <r>
    <x v="492"/>
    <x v="0"/>
    <s v="No"/>
    <n v="0"/>
    <x v="1"/>
    <x v="0"/>
    <n v="3691"/>
    <n v="0"/>
    <n v="110"/>
    <n v="360"/>
    <n v="1"/>
    <x v="1"/>
    <s v="Y"/>
  </r>
  <r>
    <x v="493"/>
    <x v="1"/>
    <s v="No"/>
    <n v="0"/>
    <x v="1"/>
    <x v="1"/>
    <n v="17263"/>
    <n v="0"/>
    <n v="225"/>
    <n v="360"/>
    <n v="1"/>
    <x v="2"/>
    <s v="Y"/>
  </r>
  <r>
    <x v="494"/>
    <x v="0"/>
    <s v="Yes"/>
    <n v="0"/>
    <x v="0"/>
    <x v="0"/>
    <n v="3597"/>
    <n v="2157"/>
    <n v="119"/>
    <n v="360"/>
    <n v="0"/>
    <x v="1"/>
    <s v="N"/>
  </r>
  <r>
    <x v="495"/>
    <x v="1"/>
    <s v="Yes"/>
    <n v="1"/>
    <x v="0"/>
    <x v="0"/>
    <n v="3326"/>
    <n v="913"/>
    <n v="105"/>
    <n v="84"/>
    <n v="1"/>
    <x v="2"/>
    <s v="Y"/>
  </r>
  <r>
    <x v="496"/>
    <x v="0"/>
    <s v="Yes"/>
    <n v="0"/>
    <x v="1"/>
    <x v="0"/>
    <n v="2600"/>
    <n v="1700"/>
    <n v="107"/>
    <n v="360"/>
    <n v="1"/>
    <x v="1"/>
    <s v="Y"/>
  </r>
  <r>
    <x v="497"/>
    <x v="0"/>
    <s v="Yes"/>
    <n v="0"/>
    <x v="0"/>
    <x v="0"/>
    <n v="4625"/>
    <n v="2857"/>
    <n v="111"/>
    <n v="12"/>
    <m/>
    <x v="0"/>
    <s v="Y"/>
  </r>
  <r>
    <x v="498"/>
    <x v="0"/>
    <s v="Yes"/>
    <n v="1"/>
    <x v="0"/>
    <x v="1"/>
    <n v="2895"/>
    <n v="0"/>
    <n v="95"/>
    <n v="360"/>
    <n v="1"/>
    <x v="2"/>
    <s v="Y"/>
  </r>
  <r>
    <x v="499"/>
    <x v="0"/>
    <s v="No"/>
    <n v="0"/>
    <x v="0"/>
    <x v="0"/>
    <n v="6283"/>
    <n v="4416"/>
    <n v="209"/>
    <n v="360"/>
    <n v="0"/>
    <x v="1"/>
    <s v="N"/>
  </r>
  <r>
    <x v="500"/>
    <x v="1"/>
    <s v="No"/>
    <n v="0"/>
    <x v="0"/>
    <x v="0"/>
    <n v="645"/>
    <n v="3683"/>
    <n v="113"/>
    <n v="480"/>
    <n v="1"/>
    <x v="1"/>
    <s v="Y"/>
  </r>
  <r>
    <x v="501"/>
    <x v="1"/>
    <s v="No"/>
    <n v="0"/>
    <x v="0"/>
    <x v="0"/>
    <n v="3159"/>
    <n v="0"/>
    <n v="100"/>
    <n v="360"/>
    <n v="1"/>
    <x v="2"/>
    <s v="Y"/>
  </r>
  <r>
    <x v="502"/>
    <x v="0"/>
    <s v="Yes"/>
    <n v="2"/>
    <x v="0"/>
    <x v="0"/>
    <n v="4865"/>
    <n v="5624"/>
    <n v="208"/>
    <n v="360"/>
    <n v="1"/>
    <x v="2"/>
    <s v="Y"/>
  </r>
  <r>
    <x v="503"/>
    <x v="0"/>
    <s v="Yes"/>
    <n v="1"/>
    <x v="1"/>
    <x v="0"/>
    <n v="4050"/>
    <n v="5302"/>
    <n v="138"/>
    <n v="360"/>
    <m/>
    <x v="1"/>
    <s v="N"/>
  </r>
  <r>
    <x v="504"/>
    <x v="0"/>
    <s v="Yes"/>
    <n v="0"/>
    <x v="1"/>
    <x v="0"/>
    <n v="3814"/>
    <n v="1483"/>
    <n v="124"/>
    <n v="300"/>
    <n v="1"/>
    <x v="2"/>
    <s v="Y"/>
  </r>
  <r>
    <x v="505"/>
    <x v="0"/>
    <s v="Yes"/>
    <n v="2"/>
    <x v="0"/>
    <x v="0"/>
    <n v="3510"/>
    <n v="4416"/>
    <n v="243"/>
    <n v="360"/>
    <n v="1"/>
    <x v="1"/>
    <s v="Y"/>
  </r>
  <r>
    <x v="506"/>
    <x v="0"/>
    <s v="Yes"/>
    <n v="0"/>
    <x v="0"/>
    <x v="0"/>
    <n v="20833"/>
    <n v="6667"/>
    <n v="480"/>
    <n v="360"/>
    <m/>
    <x v="0"/>
    <s v="Y"/>
  </r>
  <r>
    <x v="507"/>
    <x v="2"/>
    <s v="No"/>
    <n v="0"/>
    <x v="0"/>
    <x v="0"/>
    <n v="3583"/>
    <n v="0"/>
    <n v="96"/>
    <n v="360"/>
    <n v="1"/>
    <x v="0"/>
    <s v="N"/>
  </r>
  <r>
    <x v="508"/>
    <x v="0"/>
    <s v="Yes"/>
    <n v="0"/>
    <x v="0"/>
    <x v="1"/>
    <n v="2479"/>
    <n v="3013"/>
    <n v="188"/>
    <n v="360"/>
    <n v="1"/>
    <x v="0"/>
    <s v="Y"/>
  </r>
  <r>
    <x v="509"/>
    <x v="1"/>
    <s v="No"/>
    <n v="1"/>
    <x v="0"/>
    <x v="0"/>
    <n v="13262"/>
    <n v="0"/>
    <n v="40"/>
    <n v="360"/>
    <n v="1"/>
    <x v="0"/>
    <s v="Y"/>
  </r>
  <r>
    <x v="510"/>
    <x v="0"/>
    <s v="No"/>
    <n v="0"/>
    <x v="1"/>
    <x v="0"/>
    <n v="3598"/>
    <n v="1287"/>
    <n v="100"/>
    <n v="360"/>
    <n v="1"/>
    <x v="1"/>
    <s v="N"/>
  </r>
  <r>
    <x v="511"/>
    <x v="0"/>
    <s v="Yes"/>
    <n v="1"/>
    <x v="0"/>
    <x v="0"/>
    <n v="6065"/>
    <n v="2004"/>
    <n v="250"/>
    <n v="360"/>
    <n v="1"/>
    <x v="2"/>
    <s v="Y"/>
  </r>
  <r>
    <x v="512"/>
    <x v="0"/>
    <s v="Yes"/>
    <n v="2"/>
    <x v="0"/>
    <x v="0"/>
    <n v="3283"/>
    <n v="2035"/>
    <n v="148"/>
    <n v="360"/>
    <n v="1"/>
    <x v="0"/>
    <s v="Y"/>
  </r>
  <r>
    <x v="513"/>
    <x v="0"/>
    <s v="Yes"/>
    <n v="0"/>
    <x v="0"/>
    <x v="0"/>
    <n v="2130"/>
    <n v="6666"/>
    <n v="70"/>
    <n v="180"/>
    <n v="1"/>
    <x v="2"/>
    <s v="N"/>
  </r>
  <r>
    <x v="514"/>
    <x v="0"/>
    <s v="No"/>
    <n v="0"/>
    <x v="0"/>
    <x v="0"/>
    <n v="5815"/>
    <n v="3666"/>
    <n v="311"/>
    <n v="360"/>
    <n v="1"/>
    <x v="1"/>
    <s v="N"/>
  </r>
  <r>
    <x v="515"/>
    <x v="0"/>
    <s v="Yes"/>
    <n v="3"/>
    <x v="0"/>
    <x v="0"/>
    <n v="3466"/>
    <n v="3428"/>
    <n v="150"/>
    <n v="360"/>
    <n v="1"/>
    <x v="1"/>
    <s v="Y"/>
  </r>
  <r>
    <x v="516"/>
    <x v="1"/>
    <s v="Yes"/>
    <n v="2"/>
    <x v="0"/>
    <x v="0"/>
    <n v="2031"/>
    <n v="1632"/>
    <n v="113"/>
    <n v="480"/>
    <n v="1"/>
    <x v="2"/>
    <s v="Y"/>
  </r>
  <r>
    <x v="517"/>
    <x v="0"/>
    <s v="Yes"/>
    <m/>
    <x v="1"/>
    <x v="0"/>
    <n v="3074"/>
    <n v="1800"/>
    <n v="123"/>
    <n v="360"/>
    <n v="0"/>
    <x v="2"/>
    <s v="N"/>
  </r>
  <r>
    <x v="518"/>
    <x v="0"/>
    <s v="No"/>
    <n v="0"/>
    <x v="0"/>
    <x v="0"/>
    <n v="4683"/>
    <n v="1915"/>
    <n v="185"/>
    <n v="360"/>
    <n v="1"/>
    <x v="2"/>
    <s v="N"/>
  </r>
  <r>
    <x v="519"/>
    <x v="1"/>
    <s v="No"/>
    <n v="0"/>
    <x v="1"/>
    <x v="0"/>
    <n v="3400"/>
    <n v="0"/>
    <n v="95"/>
    <n v="360"/>
    <n v="1"/>
    <x v="1"/>
    <s v="N"/>
  </r>
  <r>
    <x v="520"/>
    <x v="0"/>
    <s v="Yes"/>
    <n v="2"/>
    <x v="1"/>
    <x v="0"/>
    <n v="2192"/>
    <n v="1742"/>
    <n v="45"/>
    <n v="360"/>
    <n v="1"/>
    <x v="2"/>
    <s v="Y"/>
  </r>
  <r>
    <x v="521"/>
    <x v="0"/>
    <s v="No"/>
    <n v="0"/>
    <x v="0"/>
    <x v="0"/>
    <n v="2500"/>
    <n v="0"/>
    <n v="55"/>
    <n v="360"/>
    <n v="1"/>
    <x v="2"/>
    <s v="Y"/>
  </r>
  <r>
    <x v="522"/>
    <x v="0"/>
    <s v="Yes"/>
    <n v="3"/>
    <x v="0"/>
    <x v="1"/>
    <n v="5677"/>
    <n v="1424"/>
    <n v="100"/>
    <n v="360"/>
    <n v="1"/>
    <x v="1"/>
    <s v="Y"/>
  </r>
  <r>
    <x v="523"/>
    <x v="0"/>
    <s v="Yes"/>
    <n v="2"/>
    <x v="0"/>
    <x v="1"/>
    <n v="7948"/>
    <n v="7166"/>
    <n v="480"/>
    <n v="360"/>
    <n v="1"/>
    <x v="1"/>
    <s v="Y"/>
  </r>
  <r>
    <x v="524"/>
    <x v="0"/>
    <s v="No"/>
    <n v="0"/>
    <x v="0"/>
    <x v="0"/>
    <n v="4680"/>
    <n v="2087"/>
    <m/>
    <n v="360"/>
    <n v="1"/>
    <x v="2"/>
    <s v="N"/>
  </r>
  <r>
    <x v="525"/>
    <x v="0"/>
    <s v="Yes"/>
    <n v="2"/>
    <x v="0"/>
    <x v="1"/>
    <n v="17500"/>
    <n v="0"/>
    <n v="400"/>
    <n v="360"/>
    <n v="1"/>
    <x v="1"/>
    <s v="Y"/>
  </r>
  <r>
    <x v="526"/>
    <x v="0"/>
    <s v="Yes"/>
    <n v="0"/>
    <x v="0"/>
    <x v="0"/>
    <n v="3775"/>
    <n v="0"/>
    <n v="110"/>
    <n v="360"/>
    <n v="1"/>
    <x v="2"/>
    <s v="Y"/>
  </r>
  <r>
    <x v="527"/>
    <x v="0"/>
    <s v="Yes"/>
    <n v="1"/>
    <x v="1"/>
    <x v="0"/>
    <n v="5285"/>
    <n v="1430"/>
    <n v="161"/>
    <n v="360"/>
    <n v="0"/>
    <x v="2"/>
    <s v="Y"/>
  </r>
  <r>
    <x v="528"/>
    <x v="0"/>
    <s v="No"/>
    <n v="1"/>
    <x v="1"/>
    <x v="0"/>
    <n v="2679"/>
    <n v="1302"/>
    <n v="94"/>
    <n v="360"/>
    <n v="1"/>
    <x v="2"/>
    <s v="Y"/>
  </r>
  <r>
    <x v="529"/>
    <x v="0"/>
    <s v="No"/>
    <n v="0"/>
    <x v="1"/>
    <x v="0"/>
    <n v="6783"/>
    <n v="0"/>
    <n v="130"/>
    <n v="360"/>
    <n v="1"/>
    <x v="2"/>
    <s v="Y"/>
  </r>
  <r>
    <x v="530"/>
    <x v="0"/>
    <s v="Yes"/>
    <n v="0"/>
    <x v="0"/>
    <x v="0"/>
    <n v="1025"/>
    <n v="5500"/>
    <n v="216"/>
    <n v="360"/>
    <m/>
    <x v="1"/>
    <s v="Y"/>
  </r>
  <r>
    <x v="531"/>
    <x v="0"/>
    <s v="Yes"/>
    <n v="3"/>
    <x v="0"/>
    <x v="0"/>
    <n v="4281"/>
    <n v="0"/>
    <n v="100"/>
    <n v="360"/>
    <n v="1"/>
    <x v="0"/>
    <s v="Y"/>
  </r>
  <r>
    <x v="532"/>
    <x v="0"/>
    <s v="No"/>
    <n v="2"/>
    <x v="0"/>
    <x v="0"/>
    <n v="3588"/>
    <n v="0"/>
    <n v="110"/>
    <n v="360"/>
    <n v="0"/>
    <x v="1"/>
    <s v="N"/>
  </r>
  <r>
    <x v="533"/>
    <x v="0"/>
    <s v="No"/>
    <n v="1"/>
    <x v="0"/>
    <x v="0"/>
    <n v="11250"/>
    <n v="0"/>
    <n v="196"/>
    <n v="360"/>
    <m/>
    <x v="2"/>
    <s v="N"/>
  </r>
  <r>
    <x v="534"/>
    <x v="1"/>
    <s v="No"/>
    <n v="0"/>
    <x v="1"/>
    <x v="1"/>
    <n v="18165"/>
    <n v="0"/>
    <n v="125"/>
    <n v="360"/>
    <n v="1"/>
    <x v="0"/>
    <s v="Y"/>
  </r>
  <r>
    <x v="535"/>
    <x v="0"/>
    <s v="No"/>
    <n v="0"/>
    <x v="1"/>
    <x v="2"/>
    <n v="2550"/>
    <n v="2042"/>
    <n v="126"/>
    <n v="360"/>
    <n v="1"/>
    <x v="1"/>
    <s v="Y"/>
  </r>
  <r>
    <x v="536"/>
    <x v="0"/>
    <s v="Yes"/>
    <n v="0"/>
    <x v="0"/>
    <x v="0"/>
    <n v="6133"/>
    <n v="3906"/>
    <n v="324"/>
    <n v="360"/>
    <n v="1"/>
    <x v="0"/>
    <s v="Y"/>
  </r>
  <r>
    <x v="537"/>
    <x v="0"/>
    <s v="No"/>
    <n v="2"/>
    <x v="0"/>
    <x v="0"/>
    <n v="3617"/>
    <n v="0"/>
    <n v="107"/>
    <n v="360"/>
    <n v="1"/>
    <x v="2"/>
    <s v="Y"/>
  </r>
  <r>
    <x v="538"/>
    <x v="0"/>
    <s v="Yes"/>
    <n v="0"/>
    <x v="1"/>
    <x v="0"/>
    <n v="2917"/>
    <n v="536"/>
    <n v="66"/>
    <n v="360"/>
    <n v="1"/>
    <x v="1"/>
    <s v="N"/>
  </r>
  <r>
    <x v="539"/>
    <x v="0"/>
    <s v="Yes"/>
    <n v="3"/>
    <x v="0"/>
    <x v="0"/>
    <n v="6417"/>
    <n v="0"/>
    <n v="157"/>
    <n v="180"/>
    <n v="1"/>
    <x v="1"/>
    <s v="Y"/>
  </r>
  <r>
    <x v="540"/>
    <x v="1"/>
    <s v="Yes"/>
    <n v="1"/>
    <x v="0"/>
    <x v="0"/>
    <n v="4608"/>
    <n v="2845"/>
    <n v="140"/>
    <n v="180"/>
    <n v="1"/>
    <x v="2"/>
    <s v="Y"/>
  </r>
  <r>
    <x v="541"/>
    <x v="1"/>
    <s v="No"/>
    <n v="0"/>
    <x v="0"/>
    <x v="0"/>
    <n v="2138"/>
    <n v="0"/>
    <n v="99"/>
    <n v="360"/>
    <n v="0"/>
    <x v="2"/>
    <s v="N"/>
  </r>
  <r>
    <x v="542"/>
    <x v="1"/>
    <s v="No"/>
    <n v="1"/>
    <x v="0"/>
    <x v="2"/>
    <n v="3652"/>
    <n v="0"/>
    <n v="95"/>
    <n v="360"/>
    <n v="1"/>
    <x v="2"/>
    <s v="Y"/>
  </r>
  <r>
    <x v="543"/>
    <x v="0"/>
    <s v="Yes"/>
    <n v="1"/>
    <x v="1"/>
    <x v="0"/>
    <n v="2239"/>
    <n v="2524"/>
    <n v="128"/>
    <n v="360"/>
    <n v="1"/>
    <x v="0"/>
    <s v="Y"/>
  </r>
  <r>
    <x v="544"/>
    <x v="1"/>
    <s v="Yes"/>
    <n v="0"/>
    <x v="1"/>
    <x v="0"/>
    <n v="3017"/>
    <n v="663"/>
    <n v="102"/>
    <n v="360"/>
    <m/>
    <x v="2"/>
    <s v="Y"/>
  </r>
  <r>
    <x v="545"/>
    <x v="0"/>
    <s v="Yes"/>
    <n v="0"/>
    <x v="0"/>
    <x v="0"/>
    <n v="2768"/>
    <n v="1950"/>
    <n v="155"/>
    <n v="360"/>
    <n v="1"/>
    <x v="1"/>
    <s v="Y"/>
  </r>
  <r>
    <x v="546"/>
    <x v="0"/>
    <s v="No"/>
    <n v="0"/>
    <x v="1"/>
    <x v="0"/>
    <n v="3358"/>
    <n v="0"/>
    <n v="80"/>
    <n v="36"/>
    <n v="1"/>
    <x v="2"/>
    <s v="N"/>
  </r>
  <r>
    <x v="547"/>
    <x v="0"/>
    <s v="No"/>
    <n v="0"/>
    <x v="0"/>
    <x v="0"/>
    <n v="2526"/>
    <n v="1783"/>
    <n v="145"/>
    <n v="360"/>
    <n v="1"/>
    <x v="1"/>
    <s v="Y"/>
  </r>
  <r>
    <x v="548"/>
    <x v="1"/>
    <s v="No"/>
    <n v="0"/>
    <x v="0"/>
    <x v="0"/>
    <n v="5000"/>
    <n v="0"/>
    <n v="103"/>
    <n v="360"/>
    <n v="0"/>
    <x v="2"/>
    <s v="N"/>
  </r>
  <r>
    <x v="549"/>
    <x v="0"/>
    <s v="Yes"/>
    <n v="0"/>
    <x v="0"/>
    <x v="0"/>
    <n v="2785"/>
    <n v="2016"/>
    <n v="110"/>
    <n v="360"/>
    <n v="1"/>
    <x v="1"/>
    <s v="Y"/>
  </r>
  <r>
    <x v="550"/>
    <x v="0"/>
    <s v="Yes"/>
    <n v="2"/>
    <x v="0"/>
    <x v="1"/>
    <n v="6633"/>
    <n v="0"/>
    <m/>
    <n v="360"/>
    <n v="0"/>
    <x v="1"/>
    <s v="N"/>
  </r>
  <r>
    <x v="551"/>
    <x v="0"/>
    <s v="Yes"/>
    <n v="1"/>
    <x v="1"/>
    <x v="0"/>
    <n v="2492"/>
    <n v="2375"/>
    <m/>
    <n v="360"/>
    <n v="1"/>
    <x v="1"/>
    <s v="Y"/>
  </r>
  <r>
    <x v="552"/>
    <x v="0"/>
    <s v="Yes"/>
    <n v="1"/>
    <x v="0"/>
    <x v="0"/>
    <n v="3333"/>
    <n v="3250"/>
    <n v="158"/>
    <n v="360"/>
    <n v="1"/>
    <x v="0"/>
    <s v="Y"/>
  </r>
  <r>
    <x v="553"/>
    <x v="0"/>
    <s v="Yes"/>
    <n v="0"/>
    <x v="1"/>
    <x v="0"/>
    <n v="2454"/>
    <n v="2333"/>
    <n v="181"/>
    <n v="360"/>
    <n v="0"/>
    <x v="0"/>
    <s v="N"/>
  </r>
  <r>
    <x v="554"/>
    <x v="0"/>
    <s v="Yes"/>
    <n v="0"/>
    <x v="0"/>
    <x v="0"/>
    <n v="3593"/>
    <n v="4266"/>
    <n v="132"/>
    <n v="180"/>
    <n v="0"/>
    <x v="1"/>
    <s v="N"/>
  </r>
  <r>
    <x v="555"/>
    <x v="0"/>
    <s v="Yes"/>
    <n v="1"/>
    <x v="0"/>
    <x v="0"/>
    <n v="5468"/>
    <n v="1032"/>
    <n v="26"/>
    <n v="360"/>
    <n v="1"/>
    <x v="2"/>
    <s v="Y"/>
  </r>
  <r>
    <x v="556"/>
    <x v="1"/>
    <s v="No"/>
    <n v="0"/>
    <x v="0"/>
    <x v="0"/>
    <n v="2667"/>
    <n v="1625"/>
    <n v="84"/>
    <n v="360"/>
    <m/>
    <x v="0"/>
    <s v="Y"/>
  </r>
  <r>
    <x v="557"/>
    <x v="0"/>
    <s v="Yes"/>
    <n v="3"/>
    <x v="0"/>
    <x v="1"/>
    <n v="10139"/>
    <n v="0"/>
    <n v="260"/>
    <n v="360"/>
    <n v="1"/>
    <x v="2"/>
    <s v="Y"/>
  </r>
  <r>
    <x v="558"/>
    <x v="0"/>
    <s v="Yes"/>
    <n v="0"/>
    <x v="0"/>
    <x v="0"/>
    <n v="3887"/>
    <n v="2669"/>
    <n v="162"/>
    <n v="360"/>
    <n v="1"/>
    <x v="2"/>
    <s v="Y"/>
  </r>
  <r>
    <x v="559"/>
    <x v="1"/>
    <s v="Yes"/>
    <n v="0"/>
    <x v="0"/>
    <x v="0"/>
    <n v="4180"/>
    <n v="2306"/>
    <n v="182"/>
    <n v="360"/>
    <n v="1"/>
    <x v="2"/>
    <s v="Y"/>
  </r>
  <r>
    <x v="560"/>
    <x v="0"/>
    <s v="Yes"/>
    <n v="2"/>
    <x v="1"/>
    <x v="0"/>
    <n v="3675"/>
    <n v="242"/>
    <n v="108"/>
    <n v="360"/>
    <n v="1"/>
    <x v="2"/>
    <s v="Y"/>
  </r>
  <r>
    <x v="561"/>
    <x v="1"/>
    <s v="Yes"/>
    <n v="1"/>
    <x v="0"/>
    <x v="1"/>
    <n v="19484"/>
    <n v="0"/>
    <n v="600"/>
    <n v="360"/>
    <n v="1"/>
    <x v="2"/>
    <s v="Y"/>
  </r>
  <r>
    <x v="562"/>
    <x v="0"/>
    <s v="Yes"/>
    <n v="0"/>
    <x v="0"/>
    <x v="0"/>
    <n v="5923"/>
    <n v="2054"/>
    <n v="211"/>
    <n v="360"/>
    <n v="1"/>
    <x v="1"/>
    <s v="Y"/>
  </r>
  <r>
    <x v="563"/>
    <x v="0"/>
    <s v="No"/>
    <n v="0"/>
    <x v="1"/>
    <x v="1"/>
    <n v="5800"/>
    <n v="0"/>
    <n v="132"/>
    <n v="360"/>
    <n v="1"/>
    <x v="2"/>
    <s v="Y"/>
  </r>
  <r>
    <x v="564"/>
    <x v="0"/>
    <s v="Yes"/>
    <n v="2"/>
    <x v="0"/>
    <x v="0"/>
    <n v="8799"/>
    <n v="0"/>
    <n v="258"/>
    <n v="360"/>
    <n v="0"/>
    <x v="0"/>
    <s v="N"/>
  </r>
  <r>
    <x v="565"/>
    <x v="0"/>
    <s v="Yes"/>
    <n v="0"/>
    <x v="1"/>
    <x v="0"/>
    <n v="4467"/>
    <n v="0"/>
    <n v="120"/>
    <n v="360"/>
    <m/>
    <x v="1"/>
    <s v="Y"/>
  </r>
  <r>
    <x v="566"/>
    <x v="0"/>
    <s v="No"/>
    <n v="0"/>
    <x v="0"/>
    <x v="0"/>
    <n v="3333"/>
    <n v="0"/>
    <n v="70"/>
    <n v="360"/>
    <n v="1"/>
    <x v="0"/>
    <s v="Y"/>
  </r>
  <r>
    <x v="567"/>
    <x v="0"/>
    <s v="Yes"/>
    <n v="3"/>
    <x v="0"/>
    <x v="0"/>
    <n v="3400"/>
    <n v="2500"/>
    <n v="123"/>
    <n v="360"/>
    <n v="0"/>
    <x v="1"/>
    <s v="N"/>
  </r>
  <r>
    <x v="568"/>
    <x v="1"/>
    <s v="No"/>
    <n v="0"/>
    <x v="0"/>
    <x v="0"/>
    <n v="2378"/>
    <n v="0"/>
    <n v="9"/>
    <n v="360"/>
    <n v="1"/>
    <x v="0"/>
    <s v="N"/>
  </r>
  <r>
    <x v="569"/>
    <x v="0"/>
    <s v="Yes"/>
    <n v="0"/>
    <x v="0"/>
    <x v="0"/>
    <n v="3166"/>
    <n v="2064"/>
    <n v="104"/>
    <n v="360"/>
    <n v="0"/>
    <x v="0"/>
    <s v="N"/>
  </r>
  <r>
    <x v="570"/>
    <x v="0"/>
    <s v="Yes"/>
    <n v="1"/>
    <x v="0"/>
    <x v="0"/>
    <n v="3417"/>
    <n v="1750"/>
    <n v="186"/>
    <n v="360"/>
    <n v="1"/>
    <x v="0"/>
    <s v="Y"/>
  </r>
  <r>
    <x v="571"/>
    <x v="0"/>
    <s v="Yes"/>
    <m/>
    <x v="0"/>
    <x v="0"/>
    <n v="5116"/>
    <n v="1451"/>
    <n v="165"/>
    <n v="360"/>
    <n v="0"/>
    <x v="0"/>
    <s v="N"/>
  </r>
  <r>
    <x v="572"/>
    <x v="0"/>
    <s v="Yes"/>
    <n v="2"/>
    <x v="0"/>
    <x v="0"/>
    <n v="16666"/>
    <n v="0"/>
    <n v="275"/>
    <n v="360"/>
    <n v="1"/>
    <x v="0"/>
    <s v="Y"/>
  </r>
  <r>
    <x v="573"/>
    <x v="0"/>
    <s v="Yes"/>
    <n v="2"/>
    <x v="1"/>
    <x v="0"/>
    <n v="6125"/>
    <n v="1625"/>
    <n v="187"/>
    <n v="480"/>
    <n v="1"/>
    <x v="2"/>
    <s v="N"/>
  </r>
  <r>
    <x v="574"/>
    <x v="0"/>
    <s v="Yes"/>
    <n v="3"/>
    <x v="0"/>
    <x v="0"/>
    <n v="6406"/>
    <n v="0"/>
    <n v="150"/>
    <n v="360"/>
    <n v="1"/>
    <x v="2"/>
    <s v="N"/>
  </r>
  <r>
    <x v="575"/>
    <x v="0"/>
    <s v="Yes"/>
    <n v="2"/>
    <x v="0"/>
    <x v="0"/>
    <n v="3159"/>
    <n v="461"/>
    <n v="108"/>
    <n v="84"/>
    <n v="1"/>
    <x v="0"/>
    <s v="Y"/>
  </r>
  <r>
    <x v="576"/>
    <x v="2"/>
    <s v="Yes"/>
    <n v="0"/>
    <x v="0"/>
    <x v="0"/>
    <n v="3087"/>
    <n v="2210"/>
    <n v="136"/>
    <n v="360"/>
    <n v="0"/>
    <x v="2"/>
    <s v="N"/>
  </r>
  <r>
    <x v="577"/>
    <x v="0"/>
    <s v="No"/>
    <n v="0"/>
    <x v="0"/>
    <x v="0"/>
    <n v="3229"/>
    <n v="2739"/>
    <n v="110"/>
    <n v="360"/>
    <n v="1"/>
    <x v="0"/>
    <s v="Y"/>
  </r>
  <r>
    <x v="578"/>
    <x v="0"/>
    <s v="Yes"/>
    <n v="1"/>
    <x v="0"/>
    <x v="0"/>
    <n v="1782"/>
    <n v="2232"/>
    <n v="107"/>
    <n v="360"/>
    <n v="1"/>
    <x v="1"/>
    <s v="Y"/>
  </r>
  <r>
    <x v="579"/>
    <x v="0"/>
    <s v="No"/>
    <n v="0"/>
    <x v="0"/>
    <x v="2"/>
    <n v="3182"/>
    <n v="2917"/>
    <n v="161"/>
    <n v="360"/>
    <n v="1"/>
    <x v="0"/>
    <s v="Y"/>
  </r>
  <r>
    <x v="580"/>
    <x v="0"/>
    <s v="Yes"/>
    <n v="2"/>
    <x v="0"/>
    <x v="0"/>
    <n v="6540"/>
    <n v="0"/>
    <n v="205"/>
    <n v="360"/>
    <n v="1"/>
    <x v="2"/>
    <s v="Y"/>
  </r>
  <r>
    <x v="581"/>
    <x v="0"/>
    <s v="No"/>
    <n v="0"/>
    <x v="0"/>
    <x v="0"/>
    <n v="1836"/>
    <n v="33837"/>
    <n v="90"/>
    <n v="360"/>
    <n v="1"/>
    <x v="0"/>
    <s v="N"/>
  </r>
  <r>
    <x v="582"/>
    <x v="1"/>
    <s v="Yes"/>
    <n v="0"/>
    <x v="0"/>
    <x v="0"/>
    <n v="3166"/>
    <n v="0"/>
    <n v="36"/>
    <n v="360"/>
    <n v="1"/>
    <x v="2"/>
    <s v="Y"/>
  </r>
  <r>
    <x v="583"/>
    <x v="0"/>
    <s v="Yes"/>
    <n v="1"/>
    <x v="0"/>
    <x v="0"/>
    <n v="1880"/>
    <n v="0"/>
    <n v="61"/>
    <n v="360"/>
    <m/>
    <x v="1"/>
    <s v="N"/>
  </r>
  <r>
    <x v="584"/>
    <x v="0"/>
    <s v="Yes"/>
    <n v="1"/>
    <x v="0"/>
    <x v="0"/>
    <n v="2787"/>
    <n v="1917"/>
    <n v="146"/>
    <n v="360"/>
    <n v="0"/>
    <x v="1"/>
    <s v="N"/>
  </r>
  <r>
    <x v="585"/>
    <x v="0"/>
    <s v="Yes"/>
    <n v="1"/>
    <x v="0"/>
    <x v="0"/>
    <n v="4283"/>
    <n v="3000"/>
    <n v="172"/>
    <n v="84"/>
    <n v="1"/>
    <x v="1"/>
    <s v="N"/>
  </r>
  <r>
    <x v="586"/>
    <x v="0"/>
    <s v="Yes"/>
    <n v="0"/>
    <x v="0"/>
    <x v="0"/>
    <n v="2297"/>
    <n v="1522"/>
    <n v="104"/>
    <n v="360"/>
    <n v="1"/>
    <x v="0"/>
    <s v="Y"/>
  </r>
  <r>
    <x v="587"/>
    <x v="1"/>
    <s v="No"/>
    <n v="0"/>
    <x v="1"/>
    <x v="0"/>
    <n v="2165"/>
    <n v="0"/>
    <n v="70"/>
    <n v="360"/>
    <n v="1"/>
    <x v="2"/>
    <s v="Y"/>
  </r>
  <r>
    <x v="588"/>
    <x v="2"/>
    <s v="No"/>
    <n v="0"/>
    <x v="0"/>
    <x v="0"/>
    <n v="4750"/>
    <n v="0"/>
    <n v="94"/>
    <n v="360"/>
    <n v="1"/>
    <x v="2"/>
    <s v="Y"/>
  </r>
  <r>
    <x v="589"/>
    <x v="0"/>
    <s v="Yes"/>
    <n v="2"/>
    <x v="0"/>
    <x v="1"/>
    <n v="2726"/>
    <n v="0"/>
    <n v="106"/>
    <n v="360"/>
    <n v="0"/>
    <x v="2"/>
    <s v="N"/>
  </r>
  <r>
    <x v="590"/>
    <x v="0"/>
    <s v="Yes"/>
    <n v="0"/>
    <x v="0"/>
    <x v="0"/>
    <n v="3000"/>
    <n v="3416"/>
    <n v="56"/>
    <n v="180"/>
    <n v="1"/>
    <x v="2"/>
    <s v="Y"/>
  </r>
  <r>
    <x v="591"/>
    <x v="0"/>
    <s v="Yes"/>
    <n v="2"/>
    <x v="0"/>
    <x v="1"/>
    <n v="6000"/>
    <n v="0"/>
    <n v="205"/>
    <n v="240"/>
    <n v="1"/>
    <x v="2"/>
    <s v="N"/>
  </r>
  <r>
    <x v="592"/>
    <x v="2"/>
    <s v="No"/>
    <n v="3"/>
    <x v="0"/>
    <x v="1"/>
    <n v="9357"/>
    <n v="0"/>
    <n v="292"/>
    <n v="360"/>
    <n v="1"/>
    <x v="2"/>
    <s v="Y"/>
  </r>
  <r>
    <x v="593"/>
    <x v="0"/>
    <s v="Yes"/>
    <n v="0"/>
    <x v="0"/>
    <x v="0"/>
    <n v="3859"/>
    <n v="3300"/>
    <n v="142"/>
    <n v="180"/>
    <n v="1"/>
    <x v="1"/>
    <s v="Y"/>
  </r>
  <r>
    <x v="594"/>
    <x v="0"/>
    <s v="Yes"/>
    <n v="0"/>
    <x v="0"/>
    <x v="1"/>
    <n v="16120"/>
    <n v="0"/>
    <n v="260"/>
    <n v="360"/>
    <n v="1"/>
    <x v="0"/>
    <s v="Y"/>
  </r>
  <r>
    <x v="595"/>
    <x v="0"/>
    <s v="No"/>
    <n v="0"/>
    <x v="1"/>
    <x v="0"/>
    <n v="3833"/>
    <n v="0"/>
    <n v="110"/>
    <n v="360"/>
    <n v="1"/>
    <x v="1"/>
    <s v="Y"/>
  </r>
  <r>
    <x v="596"/>
    <x v="0"/>
    <s v="Yes"/>
    <n v="2"/>
    <x v="1"/>
    <x v="1"/>
    <n v="6383"/>
    <n v="1000"/>
    <n v="187"/>
    <n v="360"/>
    <n v="1"/>
    <x v="1"/>
    <s v="N"/>
  </r>
  <r>
    <x v="597"/>
    <x v="0"/>
    <s v="No"/>
    <m/>
    <x v="0"/>
    <x v="0"/>
    <n v="2987"/>
    <n v="0"/>
    <n v="88"/>
    <n v="360"/>
    <n v="0"/>
    <x v="2"/>
    <s v="N"/>
  </r>
  <r>
    <x v="598"/>
    <x v="0"/>
    <s v="Yes"/>
    <n v="0"/>
    <x v="0"/>
    <x v="1"/>
    <n v="9963"/>
    <n v="0"/>
    <n v="180"/>
    <n v="360"/>
    <n v="1"/>
    <x v="1"/>
    <s v="Y"/>
  </r>
  <r>
    <x v="599"/>
    <x v="0"/>
    <s v="Yes"/>
    <n v="2"/>
    <x v="0"/>
    <x v="0"/>
    <n v="5780"/>
    <n v="0"/>
    <n v="192"/>
    <n v="360"/>
    <n v="1"/>
    <x v="0"/>
    <s v="Y"/>
  </r>
  <r>
    <x v="600"/>
    <x v="1"/>
    <s v="No"/>
    <n v="3"/>
    <x v="0"/>
    <x v="2"/>
    <n v="416"/>
    <n v="41667"/>
    <n v="350"/>
    <n v="180"/>
    <m/>
    <x v="0"/>
    <s v="N"/>
  </r>
  <r>
    <x v="601"/>
    <x v="0"/>
    <s v="Yes"/>
    <n v="0"/>
    <x v="1"/>
    <x v="2"/>
    <n v="2894"/>
    <n v="2792"/>
    <n v="155"/>
    <n v="360"/>
    <n v="1"/>
    <x v="1"/>
    <s v="Y"/>
  </r>
  <r>
    <x v="602"/>
    <x v="0"/>
    <s v="Yes"/>
    <n v="3"/>
    <x v="0"/>
    <x v="0"/>
    <n v="5703"/>
    <n v="0"/>
    <n v="128"/>
    <n v="360"/>
    <n v="1"/>
    <x v="0"/>
    <s v="Y"/>
  </r>
  <r>
    <x v="603"/>
    <x v="0"/>
    <s v="No"/>
    <n v="0"/>
    <x v="0"/>
    <x v="0"/>
    <n v="3676"/>
    <n v="4301"/>
    <n v="172"/>
    <n v="360"/>
    <n v="1"/>
    <x v="1"/>
    <s v="Y"/>
  </r>
  <r>
    <x v="604"/>
    <x v="1"/>
    <s v="Yes"/>
    <n v="1"/>
    <x v="0"/>
    <x v="0"/>
    <n v="12000"/>
    <n v="0"/>
    <n v="496"/>
    <n v="360"/>
    <n v="1"/>
    <x v="2"/>
    <s v="Y"/>
  </r>
  <r>
    <x v="605"/>
    <x v="0"/>
    <s v="Yes"/>
    <n v="0"/>
    <x v="1"/>
    <x v="0"/>
    <n v="2400"/>
    <n v="3800"/>
    <m/>
    <n v="180"/>
    <n v="1"/>
    <x v="0"/>
    <s v="N"/>
  </r>
  <r>
    <x v="606"/>
    <x v="0"/>
    <s v="Yes"/>
    <n v="1"/>
    <x v="0"/>
    <x v="0"/>
    <n v="3400"/>
    <n v="2500"/>
    <n v="173"/>
    <n v="360"/>
    <n v="1"/>
    <x v="2"/>
    <s v="Y"/>
  </r>
  <r>
    <x v="607"/>
    <x v="0"/>
    <s v="Yes"/>
    <n v="2"/>
    <x v="1"/>
    <x v="0"/>
    <n v="3987"/>
    <n v="1411"/>
    <n v="157"/>
    <n v="360"/>
    <n v="1"/>
    <x v="1"/>
    <s v="Y"/>
  </r>
  <r>
    <x v="608"/>
    <x v="0"/>
    <s v="Yes"/>
    <n v="0"/>
    <x v="0"/>
    <x v="0"/>
    <n v="3232"/>
    <n v="1950"/>
    <n v="108"/>
    <n v="360"/>
    <n v="1"/>
    <x v="1"/>
    <s v="Y"/>
  </r>
  <r>
    <x v="609"/>
    <x v="1"/>
    <s v="No"/>
    <n v="0"/>
    <x v="0"/>
    <x v="0"/>
    <n v="2900"/>
    <n v="0"/>
    <n v="71"/>
    <n v="360"/>
    <n v="1"/>
    <x v="1"/>
    <s v="Y"/>
  </r>
  <r>
    <x v="610"/>
    <x v="0"/>
    <s v="Yes"/>
    <n v="3"/>
    <x v="0"/>
    <x v="0"/>
    <n v="4106"/>
    <n v="0"/>
    <n v="40"/>
    <n v="180"/>
    <n v="1"/>
    <x v="1"/>
    <s v="Y"/>
  </r>
  <r>
    <x v="611"/>
    <x v="0"/>
    <s v="Yes"/>
    <n v="1"/>
    <x v="0"/>
    <x v="0"/>
    <n v="8072"/>
    <n v="240"/>
    <n v="253"/>
    <n v="360"/>
    <n v="1"/>
    <x v="0"/>
    <s v="Y"/>
  </r>
  <r>
    <x v="612"/>
    <x v="0"/>
    <s v="Yes"/>
    <n v="2"/>
    <x v="0"/>
    <x v="0"/>
    <n v="7583"/>
    <n v="0"/>
    <n v="187"/>
    <n v="360"/>
    <n v="1"/>
    <x v="0"/>
    <s v="Y"/>
  </r>
  <r>
    <x v="613"/>
    <x v="1"/>
    <s v="No"/>
    <n v="0"/>
    <x v="0"/>
    <x v="1"/>
    <n v="4583"/>
    <n v="0"/>
    <n v="133"/>
    <n v="360"/>
    <n v="0"/>
    <x v="2"/>
    <s v="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C2E253-0475-496A-AA7A-F06D4D922C37}" name="PivotChartTable1" cacheId="1085"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1">
  <location ref="A1:B4" firstHeaderRow="1" firstDataRow="1" firstDataCol="1"/>
  <pivotFields count="4">
    <pivotField axis="axisRow" hiddenLevel="1" allDrilled="1" subtotalTop="0" showAll="0" dataSourceSort="1" defaultSubtotal="0">
      <items count="1">
        <item c="1" x="0"/>
      </items>
    </pivotField>
    <pivotField axis="axisRow" hiddenLevel="1" allDrilled="1" subtotalTop="0" showAll="0" dataSourceSort="1" defaultSubtotal="0">
      <items count="1">
        <item s="1" c="1" x="0"/>
      </items>
    </pivotField>
    <pivotField axis="axisRow" allDrilled="1" subtotalTop="0" showAll="0" dataSourceSort="1" defaultSubtotal="0">
      <items count="2">
        <item x="0"/>
        <item x="1"/>
      </items>
    </pivotField>
    <pivotField dataField="1" subtotalTop="0" showAll="0" defaultSubtotal="0"/>
  </pivotFields>
  <rowFields count="1">
    <field x="2"/>
  </rowFields>
  <rowItems count="3">
    <i>
      <x/>
    </i>
    <i>
      <x v="1"/>
    </i>
    <i t="grand">
      <x/>
    </i>
  </rowItems>
  <colItems count="1">
    <i/>
  </colItems>
  <dataFields count="1">
    <dataField name="Average of LoanAmount" fld="3"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LoanAmount"/>
    <pivotHierarchy dragToRow="0" dragToCol="0" dragToPage="0" dragOff="0"/>
  </pivotHierarchie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877073133">
        <x15:pivotRow count="1">
          <x15:c>
            <x15:v>2019.5328836424958</x15:v>
          </x15:c>
        </x15:pivotRow>
        <x15:pivotRow count="1">
          <x15:c>
            <x15:v>2019.5328836424958</x15:v>
          </x15:c>
        </x15:pivotRow>
        <x15:pivotRow count="1">
          <x15:c>
            <x15:v>2019.5328836424958</x15:v>
          </x15:c>
        </x15:pivotRow>
      </x15:pivotTableData>
    </ext>
    <ext xmlns:x15="http://schemas.microsoft.com/office/spreadsheetml/2010/11/main" uri="{E67621CE-5B39-4880-91FE-76760E9C1902}">
      <x15:pivotTableUISettings relNeededHidden="1">
        <x15:activeTabTopLevelEntity name="[loan_data_set  2]"/>
        <x15:activeTabTopLevelEntity name="[loan_data_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30D42D-844E-48A1-AB82-E0D61BB663B3}" name="PivotTable3" cacheId="108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E15" firstHeaderRow="1" firstDataRow="2" firstDataCol="1"/>
  <pivotFields count="13">
    <pivotField showAll="0"/>
    <pivotField axis="axisRow" showAll="0">
      <items count="4">
        <item h="1" x="2"/>
        <item x="1"/>
        <item h="1" x="0"/>
        <item t="default"/>
      </items>
    </pivotField>
    <pivotField showAll="0"/>
    <pivotField showAll="0"/>
    <pivotField axis="axisRow" showAll="0">
      <items count="3">
        <item x="0"/>
        <item x="1"/>
        <item t="default"/>
      </items>
    </pivotField>
    <pivotField axis="axisRow" showAll="0">
      <items count="4">
        <item x="2"/>
        <item x="0"/>
        <item x="1"/>
        <item t="default"/>
      </items>
    </pivotField>
    <pivotField showAll="0"/>
    <pivotField showAll="0"/>
    <pivotField dataField="1" showAll="0"/>
    <pivotField showAll="0"/>
    <pivotField showAll="0"/>
    <pivotField axis="axisCol" showAll="0">
      <items count="4">
        <item x="1"/>
        <item x="2"/>
        <item x="0"/>
        <item t="default"/>
      </items>
    </pivotField>
    <pivotField showAll="0"/>
  </pivotFields>
  <rowFields count="3">
    <field x="4"/>
    <field x="1"/>
    <field x="5"/>
  </rowFields>
  <rowItems count="11">
    <i>
      <x/>
    </i>
    <i r="1">
      <x v="1"/>
    </i>
    <i r="2">
      <x/>
    </i>
    <i r="2">
      <x v="1"/>
    </i>
    <i r="2">
      <x v="2"/>
    </i>
    <i>
      <x v="1"/>
    </i>
    <i r="1">
      <x v="1"/>
    </i>
    <i r="2">
      <x/>
    </i>
    <i r="2">
      <x v="1"/>
    </i>
    <i r="2">
      <x v="2"/>
    </i>
    <i t="grand">
      <x/>
    </i>
  </rowItems>
  <colFields count="1">
    <field x="11"/>
  </colFields>
  <colItems count="4">
    <i>
      <x/>
    </i>
    <i>
      <x v="1"/>
    </i>
    <i>
      <x v="2"/>
    </i>
    <i t="grand">
      <x/>
    </i>
  </colItems>
  <dataFields count="1">
    <dataField name="Sum of LoanAmount" fld="8" baseField="11" baseItem="0" numFmtId="44"/>
  </dataFields>
  <chartFormats count="3">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198291-1648-4779-BE30-F184194CDA3B}" name="PivotTable2" cacheId="1083" applyNumberFormats="0" applyBorderFormats="0" applyFontFormats="0" applyPatternFormats="0" applyAlignmentFormats="0" applyWidthHeightFormats="1" dataCaption="Values" tag="e060c0c4-bcad-40e1-9864-6726878d249a" updatedVersion="7" minRefreshableVersion="3" useAutoFormatting="1" subtotalHiddenItems="1" itemPrintTitles="1" createdVersion="7" indent="0" outline="1" outlineData="1" multipleFieldFilters="0">
  <location ref="A18:Q42" firstHeaderRow="1" firstDataRow="3" firstDataCol="1"/>
  <pivotFields count="8">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3">
    <field x="0"/>
    <field x="1"/>
    <field x="2"/>
  </rowFields>
  <rowItems count="22">
    <i>
      <x/>
    </i>
    <i r="1">
      <x/>
    </i>
    <i r="2">
      <x/>
    </i>
    <i r="2">
      <x v="1"/>
    </i>
    <i r="1">
      <x v="1"/>
    </i>
    <i r="2">
      <x v="2"/>
    </i>
    <i r="2">
      <x/>
    </i>
    <i r="2">
      <x v="1"/>
    </i>
    <i r="1">
      <x v="2"/>
    </i>
    <i r="2">
      <x v="2"/>
    </i>
    <i r="2">
      <x/>
    </i>
    <i r="2">
      <x v="1"/>
    </i>
    <i>
      <x v="1"/>
    </i>
    <i r="1">
      <x/>
    </i>
    <i r="2">
      <x v="1"/>
    </i>
    <i r="1">
      <x v="1"/>
    </i>
    <i r="2">
      <x/>
    </i>
    <i r="2">
      <x v="1"/>
    </i>
    <i r="1">
      <x v="2"/>
    </i>
    <i r="2">
      <x/>
    </i>
    <i r="2">
      <x v="1"/>
    </i>
    <i t="grand">
      <x/>
    </i>
  </rowItems>
  <colFields count="2">
    <field x="3"/>
    <field x="-2"/>
  </colFields>
  <colItems count="16">
    <i>
      <x/>
      <x/>
    </i>
    <i r="1" i="1">
      <x v="1"/>
    </i>
    <i r="1" i="2">
      <x v="2"/>
    </i>
    <i r="1" i="3">
      <x v="3"/>
    </i>
    <i>
      <x v="1"/>
      <x/>
    </i>
    <i r="1" i="1">
      <x v="1"/>
    </i>
    <i r="1" i="2">
      <x v="2"/>
    </i>
    <i r="1" i="3">
      <x v="3"/>
    </i>
    <i>
      <x v="2"/>
      <x/>
    </i>
    <i r="1" i="1">
      <x v="1"/>
    </i>
    <i r="1" i="2">
      <x v="2"/>
    </i>
    <i r="1" i="3">
      <x v="3"/>
    </i>
    <i t="grand">
      <x/>
    </i>
    <i t="grand" i="1">
      <x/>
    </i>
    <i t="grand" i="2">
      <x/>
    </i>
    <i t="grand" i="3">
      <x/>
    </i>
  </colItems>
  <dataFields count="4">
    <dataField fld="6" subtotal="count" baseField="0" baseItem="0"/>
    <dataField name="Sum of ApplicantIncome" fld="5" baseField="0" baseItem="0"/>
    <dataField fld="4" subtotal="count" baseField="0" baseItem="0"/>
    <dataField name="Average income Status" fld="7" subtotal="count" baseField="0" baseItem="0"/>
  </dataFields>
  <conditionalFormats count="1">
    <conditionalFormat scope="data" priority="1">
      <pivotAreas count="1">
        <pivotArea outline="0" fieldPosition="0">
          <references count="1">
            <reference field="4294967294" count="1" selected="0">
              <x v="3"/>
            </reference>
          </references>
        </pivotArea>
      </pivotAreas>
    </conditionalFormat>
  </conditional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Medium9" showRowHeaders="1" showColHeaders="1" showRowStripes="0" showColStripes="0" showLastColumn="1"/>
  <rowHierarchiesUsage count="3">
    <rowHierarchyUsage hierarchyUsage="18"/>
    <rowHierarchyUsage hierarchyUsage="15"/>
    <rowHierarchyUsage hierarchyUsage="16"/>
  </rowHierarchiesUsage>
  <colHierarchiesUsage count="2">
    <colHierarchyUsage hierarchyUsage="2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ata_se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0EB884-74EE-4DA3-A07F-34BF7D9C9453}" name="PivotTable1" cacheId="1084" applyNumberFormats="0" applyBorderFormats="0" applyFontFormats="0" applyPatternFormats="0" applyAlignmentFormats="0" applyWidthHeightFormats="1" dataCaption="Values" tag="6c9d5687-94c0-42a6-b26d-8300b260f4b0" updatedVersion="7" minRefreshableVersion="3" useAutoFormatting="1" subtotalHiddenItems="1" itemPrintTitles="1" createdVersion="5" indent="0" outline="1" outlineData="1" multipleFieldFilters="0">
  <location ref="E48:F52" firstHeaderRow="1" firstDataRow="1" firstDataCol="1"/>
  <pivotFields count="4">
    <pivotField axis="axisRow" allDrilled="1" subtotalTop="0" showAll="0" dataSourceSort="1" defaultSubtotal="0">
      <items count="3">
        <item c="1" x="0"/>
        <item c="1" x="1"/>
        <item c="1" x="2"/>
      </items>
    </pivotField>
    <pivotField axis="axisRow" subtotalTop="0" showAll="0" dataSourceSort="1" defaultSubtotal="0"/>
    <pivotField axis="axisRow" subtotalTop="0" showAll="0" dataSourceSort="1" defaultSubtotal="0"/>
    <pivotField dataField="1" subtotalTop="0" showAll="0" defaultSubtotal="0"/>
  </pivotFields>
  <rowFields count="1">
    <field x="0"/>
  </rowFields>
  <rowItems count="4">
    <i>
      <x/>
    </i>
    <i>
      <x v="1"/>
    </i>
    <i>
      <x v="2"/>
    </i>
    <i t="grand">
      <x/>
    </i>
  </rowItems>
  <colItems count="1">
    <i/>
  </colItems>
  <dataFields count="1">
    <dataField name="Sum of LoanAmount" fld="3"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Medium9"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ata_set  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107CFF7A-72BA-4C85-8AE1-77D158B58F48}" autoFormatId="16" applyNumberFormats="0" applyBorderFormats="0" applyFontFormats="0" applyPatternFormats="0" applyAlignmentFormats="0" applyWidthHeightFormats="0">
  <queryTableRefresh nextId="15" unboundColumnsRight="1">
    <queryTableFields count="14">
      <queryTableField id="1" name="Loan_ID" tableColumnId="1"/>
      <queryTableField id="2" name="Gender" tableColumnId="2"/>
      <queryTableField id="3" name="Married" tableColumnId="3"/>
      <queryTableField id="4" name="Dependents" tableColumnId="4"/>
      <queryTableField id="5" name="Education" tableColumnId="5"/>
      <queryTableField id="6" name="Self_Employed" tableColumnId="6"/>
      <queryTableField id="7" name="ApplicantIncome" tableColumnId="7"/>
      <queryTableField id="8" name="CoapplicantIncome" tableColumnId="8"/>
      <queryTableField id="9" name="LoanAmount" tableColumnId="9"/>
      <queryTableField id="10" name="Loan_Amount_Term" tableColumnId="10"/>
      <queryTableField id="11" name="Credit_History" tableColumnId="11"/>
      <queryTableField id="12" name="Property_Area" tableColumnId="12"/>
      <queryTableField id="13" name="Loan_Status"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0385D6-67A6-4A1E-BCF6-998FCEB8825F}" sourceName="Gender">
  <pivotTables>
    <pivotTable tabId="7" name="PivotTable3"/>
  </pivotTables>
  <data>
    <tabular pivotCacheId="314302089">
      <items count="3">
        <i x="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5BC2E43-CE11-4D7A-AF1E-18D190F6ADDB}" sourceName="Education">
  <pivotTables>
    <pivotTable tabId="7" name="PivotTable3"/>
  </pivotTables>
  <data>
    <tabular pivotCacheId="31430208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Employed" xr10:uid="{4AD4B551-892C-43E0-B384-CA0EF3BF94D6}" sourceName="Self_Employed">
  <pivotTables>
    <pivotTable tabId="7" name="PivotTable3"/>
  </pivotTables>
  <data>
    <tabular pivotCacheId="314302089">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Area" xr10:uid="{CE062468-EFD2-4F10-B53C-2157F4279B31}" sourceName="Property_Area">
  <pivotTables>
    <pivotTable tabId="7" name="PivotTable3"/>
  </pivotTables>
  <data>
    <tabular pivotCacheId="31430208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ABF5406-152D-4FB6-B5C9-759267138D20}" cache="Slicer_Gender" caption="Gender" rowHeight="234950"/>
  <slicer name="Education" xr10:uid="{522D6606-339A-4020-A553-BD16753FD3D8}" cache="Slicer_Education" caption="Education" rowHeight="234950"/>
  <slicer name="Self_Employed 1" xr10:uid="{C59EAC6C-DF60-42DA-96E7-410310BBDE8D}" cache="Slicer_Self_Employed" caption="Self_Employed" rowHeight="234950"/>
  <slicer name="Property_Area 1" xr10:uid="{099A3244-FD0F-429A-9966-32185C6EF149}" cache="Slicer_Property_Area" caption="Property_Area"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9557DA-5D00-4027-A8B5-6B9912A13CEE}" name="loan_data_set" displayName="loan_data_set" ref="A1:N615" tableType="queryTable" totalsRowShown="0">
  <autoFilter ref="A1:N615" xr:uid="{EE9557DA-5D00-4027-A8B5-6B9912A13CEE}"/>
  <tableColumns count="14">
    <tableColumn id="1" xr3:uid="{FA86A600-A396-40F9-A87E-DA70DAB8D633}" uniqueName="1" name="Loan_ID" queryTableFieldId="1" dataDxfId="7"/>
    <tableColumn id="2" xr3:uid="{FB7CFD85-2E91-437A-8C54-E7FB917629FE}" uniqueName="2" name="Gender" queryTableFieldId="2" dataDxfId="6"/>
    <tableColumn id="3" xr3:uid="{24B898EF-610E-4A90-AFF1-E06AB32FDE27}" uniqueName="3" name="Married" queryTableFieldId="3" dataDxfId="5"/>
    <tableColumn id="4" xr3:uid="{D24CE13F-96D9-4F25-B00F-F586DCC56114}" uniqueName="4" name="Dependents" queryTableFieldId="4"/>
    <tableColumn id="5" xr3:uid="{D23AF2AD-4425-43BD-B0E1-CAD3C2B0049E}" uniqueName="5" name="Education" queryTableFieldId="5" dataDxfId="4"/>
    <tableColumn id="6" xr3:uid="{3DC0921C-9829-41AB-9E45-A2C4014D5CB5}" uniqueName="6" name="Self_Employed" queryTableFieldId="6" dataDxfId="3"/>
    <tableColumn id="7" xr3:uid="{B8F1CA3C-1BED-441F-8166-9AE16AEAE297}" uniqueName="7" name="ApplicantIncome" queryTableFieldId="7"/>
    <tableColumn id="8" xr3:uid="{4EDA47BA-8E12-43AB-BF8A-DD9B8A986518}" uniqueName="8" name="CoapplicantIncome" queryTableFieldId="8"/>
    <tableColumn id="9" xr3:uid="{642C9B8E-8304-4B71-ACFE-5985D50E8431}" uniqueName="9" name="LoanAmount" queryTableFieldId="9"/>
    <tableColumn id="10" xr3:uid="{354795D5-43C4-42FA-94AB-650B10038887}" uniqueName="10" name="Loan_Amount_Term" queryTableFieldId="10"/>
    <tableColumn id="11" xr3:uid="{67547CCD-6B17-403A-8DF5-E219E8D0845D}" uniqueName="11" name="Credit_History" queryTableFieldId="11"/>
    <tableColumn id="12" xr3:uid="{96F017A1-71C3-4089-BA6A-9C74308A9825}" uniqueName="12" name="Property_Area" queryTableFieldId="12" dataDxfId="2"/>
    <tableColumn id="13" xr3:uid="{26FB80AD-CB1F-4E96-A662-4D7D6B47AD02}" uniqueName="13" name="Loan_Status" queryTableFieldId="13" dataDxfId="1"/>
    <tableColumn id="14" xr3:uid="{B2CD5226-97DD-41D6-A27F-7025792B857D}" uniqueName="14" name="Date" queryTableFieldId="14" dataDxfId="0">
      <calculatedColumnFormula>RANDBETWEEN(DATE(2019,1,1),DATE(2019,12,31))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97970-FD02-41C1-8F88-380AAE2AFA73}">
  <dimension ref="A3:Q52"/>
  <sheetViews>
    <sheetView tabSelected="1" zoomScale="76" zoomScaleNormal="76" workbookViewId="0">
      <selection activeCell="A3" sqref="A3"/>
    </sheetView>
  </sheetViews>
  <sheetFormatPr defaultRowHeight="14.45"/>
  <cols>
    <col min="1" max="1" width="19" bestFit="1" customWidth="1"/>
    <col min="2" max="2" width="16.42578125" bestFit="1" customWidth="1"/>
    <col min="3" max="3" width="12.5703125" bestFit="1" customWidth="1"/>
    <col min="4" max="4" width="11.5703125" bestFit="1" customWidth="1"/>
    <col min="5" max="5" width="12.5703125" bestFit="1" customWidth="1"/>
    <col min="6" max="6" width="15.140625" bestFit="1" customWidth="1"/>
    <col min="7" max="7" width="22.7109375" bestFit="1" customWidth="1"/>
    <col min="8" max="8" width="14" bestFit="1" customWidth="1"/>
    <col min="9" max="9" width="21.28515625" bestFit="1" customWidth="1"/>
    <col min="10" max="10" width="15.140625" bestFit="1" customWidth="1"/>
    <col min="11" max="11" width="22.7109375" bestFit="1" customWidth="1"/>
    <col min="12" max="12" width="14" bestFit="1" customWidth="1"/>
    <col min="13" max="13" width="21.28515625" bestFit="1" customWidth="1"/>
    <col min="14" max="14" width="20.140625" bestFit="1" customWidth="1"/>
    <col min="15" max="15" width="27.5703125" bestFit="1" customWidth="1"/>
    <col min="16" max="16" width="17.42578125" bestFit="1" customWidth="1"/>
    <col min="17" max="17" width="26.140625" bestFit="1" customWidth="1"/>
    <col min="18" max="18" width="27.5703125" bestFit="1" customWidth="1"/>
    <col min="19" max="19" width="17.42578125" bestFit="1" customWidth="1"/>
    <col min="20" max="20" width="26.140625" bestFit="1" customWidth="1"/>
    <col min="21" max="21" width="24.7109375" bestFit="1" customWidth="1"/>
    <col min="22" max="615" width="9" bestFit="1" customWidth="1"/>
    <col min="616" max="616" width="11.42578125" bestFit="1" customWidth="1"/>
  </cols>
  <sheetData>
    <row r="3" spans="1:5">
      <c r="A3" s="1" t="s">
        <v>0</v>
      </c>
      <c r="B3" s="1" t="s">
        <v>1</v>
      </c>
    </row>
    <row r="4" spans="1:5">
      <c r="A4" s="1" t="s">
        <v>2</v>
      </c>
      <c r="B4" t="s">
        <v>3</v>
      </c>
      <c r="C4" t="s">
        <v>4</v>
      </c>
      <c r="D4" t="s">
        <v>5</v>
      </c>
      <c r="E4" t="s">
        <v>6</v>
      </c>
    </row>
    <row r="5" spans="1:5">
      <c r="A5" s="2" t="s">
        <v>7</v>
      </c>
      <c r="B5" s="5">
        <v>4271</v>
      </c>
      <c r="C5" s="5">
        <v>207594</v>
      </c>
      <c r="D5" s="5">
        <v>16852</v>
      </c>
      <c r="E5" s="5">
        <v>228717</v>
      </c>
    </row>
    <row r="6" spans="1:5">
      <c r="A6" s="3" t="s">
        <v>8</v>
      </c>
      <c r="B6" s="5">
        <v>4271</v>
      </c>
      <c r="C6" s="5">
        <v>207594</v>
      </c>
      <c r="D6" s="5">
        <v>16852</v>
      </c>
      <c r="E6" s="5">
        <v>228717</v>
      </c>
    </row>
    <row r="7" spans="1:5">
      <c r="A7" s="4"/>
      <c r="B7" s="5">
        <v>135</v>
      </c>
      <c r="C7" s="5">
        <v>354</v>
      </c>
      <c r="D7" s="5">
        <v>460</v>
      </c>
      <c r="E7" s="5">
        <v>949</v>
      </c>
    </row>
    <row r="8" spans="1:5">
      <c r="A8" s="4" t="s">
        <v>9</v>
      </c>
      <c r="B8" s="5">
        <v>3837</v>
      </c>
      <c r="C8" s="5">
        <v>206203</v>
      </c>
      <c r="D8" s="5">
        <v>13317</v>
      </c>
      <c r="E8" s="5">
        <v>223357</v>
      </c>
    </row>
    <row r="9" spans="1:5">
      <c r="A9" s="4" t="s">
        <v>10</v>
      </c>
      <c r="B9" s="5">
        <v>299</v>
      </c>
      <c r="C9" s="5">
        <v>1037</v>
      </c>
      <c r="D9" s="5">
        <v>3075</v>
      </c>
      <c r="E9" s="5">
        <v>4411</v>
      </c>
    </row>
    <row r="10" spans="1:5">
      <c r="A10" s="2" t="s">
        <v>11</v>
      </c>
      <c r="B10" s="5">
        <v>658</v>
      </c>
      <c r="C10" s="5">
        <v>1140</v>
      </c>
      <c r="D10" s="5">
        <v>325</v>
      </c>
      <c r="E10" s="5">
        <v>2123</v>
      </c>
    </row>
    <row r="11" spans="1:5">
      <c r="A11" s="3" t="s">
        <v>8</v>
      </c>
      <c r="B11" s="5">
        <v>658</v>
      </c>
      <c r="C11" s="5">
        <v>1140</v>
      </c>
      <c r="D11" s="5">
        <v>325</v>
      </c>
      <c r="E11" s="5">
        <v>2123</v>
      </c>
    </row>
    <row r="12" spans="1:5">
      <c r="A12" s="4"/>
      <c r="B12" s="5"/>
      <c r="C12" s="5">
        <v>230</v>
      </c>
      <c r="D12" s="5"/>
      <c r="E12" s="5">
        <v>230</v>
      </c>
    </row>
    <row r="13" spans="1:5">
      <c r="A13" s="4" t="s">
        <v>9</v>
      </c>
      <c r="B13" s="5">
        <v>520</v>
      </c>
      <c r="C13" s="5">
        <v>623</v>
      </c>
      <c r="D13" s="5">
        <v>200</v>
      </c>
      <c r="E13" s="5">
        <v>1343</v>
      </c>
    </row>
    <row r="14" spans="1:5">
      <c r="A14" s="4" t="s">
        <v>10</v>
      </c>
      <c r="B14" s="5">
        <v>138</v>
      </c>
      <c r="C14" s="5">
        <v>287</v>
      </c>
      <c r="D14" s="5">
        <v>125</v>
      </c>
      <c r="E14" s="5">
        <v>550</v>
      </c>
    </row>
    <row r="15" spans="1:5">
      <c r="A15" s="2" t="s">
        <v>6</v>
      </c>
      <c r="B15" s="5">
        <v>4929</v>
      </c>
      <c r="C15" s="5">
        <v>208734</v>
      </c>
      <c r="D15" s="5">
        <v>17177</v>
      </c>
      <c r="E15" s="5">
        <v>230840</v>
      </c>
    </row>
    <row r="18" spans="1:17">
      <c r="B18" s="1" t="s">
        <v>1</v>
      </c>
    </row>
    <row r="19" spans="1:17">
      <c r="B19" t="s">
        <v>3</v>
      </c>
      <c r="F19" t="s">
        <v>4</v>
      </c>
      <c r="J19" t="s">
        <v>5</v>
      </c>
      <c r="N19" t="s">
        <v>12</v>
      </c>
      <c r="O19" t="s">
        <v>13</v>
      </c>
      <c r="P19" t="s">
        <v>14</v>
      </c>
      <c r="Q19" t="s">
        <v>15</v>
      </c>
    </row>
    <row r="20" spans="1:17">
      <c r="A20" s="1" t="s">
        <v>2</v>
      </c>
      <c r="B20" t="s">
        <v>16</v>
      </c>
      <c r="C20" t="s">
        <v>17</v>
      </c>
      <c r="D20" t="s">
        <v>18</v>
      </c>
      <c r="E20" t="s">
        <v>19</v>
      </c>
      <c r="F20" t="s">
        <v>16</v>
      </c>
      <c r="G20" t="s">
        <v>17</v>
      </c>
      <c r="H20" t="s">
        <v>18</v>
      </c>
      <c r="I20" t="s">
        <v>19</v>
      </c>
      <c r="J20" t="s">
        <v>16</v>
      </c>
      <c r="K20" t="s">
        <v>17</v>
      </c>
      <c r="L20" t="s">
        <v>18</v>
      </c>
      <c r="M20" t="s">
        <v>19</v>
      </c>
    </row>
    <row r="21" spans="1:17">
      <c r="A21" s="2" t="s">
        <v>7</v>
      </c>
    </row>
    <row r="22" spans="1:17">
      <c r="A22" s="3" t="s">
        <v>20</v>
      </c>
    </row>
    <row r="23" spans="1:17">
      <c r="A23" s="4" t="s">
        <v>9</v>
      </c>
      <c r="F23">
        <v>7053.5</v>
      </c>
      <c r="G23">
        <v>14107</v>
      </c>
      <c r="H23" t="s">
        <v>21</v>
      </c>
      <c r="I23">
        <v>1</v>
      </c>
      <c r="J23">
        <v>3583</v>
      </c>
      <c r="K23">
        <v>3583</v>
      </c>
      <c r="L23" t="s">
        <v>22</v>
      </c>
      <c r="M23">
        <v>0</v>
      </c>
      <c r="N23">
        <v>5896.666666666667</v>
      </c>
      <c r="O23">
        <v>17690</v>
      </c>
      <c r="P23" t="s">
        <v>21</v>
      </c>
      <c r="Q23">
        <v>1</v>
      </c>
    </row>
    <row r="24" spans="1:17">
      <c r="A24" s="4" t="s">
        <v>10</v>
      </c>
      <c r="B24">
        <v>8983.3333333333339</v>
      </c>
      <c r="C24">
        <v>26950</v>
      </c>
      <c r="D24" t="s">
        <v>21</v>
      </c>
      <c r="E24">
        <v>1</v>
      </c>
      <c r="F24">
        <v>6183.75</v>
      </c>
      <c r="G24">
        <v>24735</v>
      </c>
      <c r="H24" t="s">
        <v>21</v>
      </c>
      <c r="I24">
        <v>1</v>
      </c>
      <c r="J24">
        <v>30798</v>
      </c>
      <c r="K24">
        <v>61596</v>
      </c>
      <c r="L24" t="s">
        <v>21</v>
      </c>
      <c r="M24">
        <v>1</v>
      </c>
      <c r="N24">
        <v>12586.777777777777</v>
      </c>
      <c r="O24">
        <v>113281</v>
      </c>
      <c r="P24" t="s">
        <v>21</v>
      </c>
      <c r="Q24">
        <v>1</v>
      </c>
    </row>
    <row r="25" spans="1:17">
      <c r="A25" s="3" t="s">
        <v>8</v>
      </c>
    </row>
    <row r="26" spans="1:17">
      <c r="A26" s="4"/>
      <c r="F26">
        <v>10047</v>
      </c>
      <c r="G26">
        <v>10047</v>
      </c>
      <c r="H26" t="s">
        <v>22</v>
      </c>
      <c r="I26">
        <v>1</v>
      </c>
      <c r="N26">
        <v>10047</v>
      </c>
      <c r="O26">
        <v>10047</v>
      </c>
      <c r="P26" t="s">
        <v>22</v>
      </c>
      <c r="Q26">
        <v>1</v>
      </c>
    </row>
    <row r="27" spans="1:17">
      <c r="A27" s="4" t="s">
        <v>9</v>
      </c>
      <c r="B27">
        <v>4266.9333333333334</v>
      </c>
      <c r="C27">
        <v>64004</v>
      </c>
      <c r="D27" t="s">
        <v>21</v>
      </c>
      <c r="E27">
        <v>0</v>
      </c>
      <c r="F27">
        <v>4784.75</v>
      </c>
      <c r="G27">
        <v>133973</v>
      </c>
      <c r="H27" t="s">
        <v>21</v>
      </c>
      <c r="I27">
        <v>0</v>
      </c>
      <c r="J27">
        <v>3838.1739130434785</v>
      </c>
      <c r="K27">
        <v>88278</v>
      </c>
      <c r="L27" t="s">
        <v>21</v>
      </c>
      <c r="M27">
        <v>0</v>
      </c>
      <c r="N27">
        <v>4337.19696969697</v>
      </c>
      <c r="O27">
        <v>286255</v>
      </c>
      <c r="P27" t="s">
        <v>21</v>
      </c>
      <c r="Q27">
        <v>0</v>
      </c>
    </row>
    <row r="28" spans="1:17">
      <c r="A28" s="4" t="s">
        <v>10</v>
      </c>
      <c r="B28">
        <v>4888.666666666667</v>
      </c>
      <c r="C28">
        <v>14666</v>
      </c>
      <c r="D28" t="s">
        <v>21</v>
      </c>
      <c r="E28">
        <v>0</v>
      </c>
      <c r="F28">
        <v>4819.9375</v>
      </c>
      <c r="G28">
        <v>77119</v>
      </c>
      <c r="H28" t="s">
        <v>21</v>
      </c>
      <c r="I28">
        <v>0</v>
      </c>
      <c r="J28">
        <v>6564.666666666667</v>
      </c>
      <c r="K28">
        <v>39388</v>
      </c>
      <c r="L28" t="s">
        <v>21</v>
      </c>
      <c r="M28">
        <v>1</v>
      </c>
      <c r="N28">
        <v>5246.92</v>
      </c>
      <c r="O28">
        <v>131173</v>
      </c>
      <c r="P28" t="s">
        <v>21</v>
      </c>
      <c r="Q28">
        <v>1</v>
      </c>
    </row>
    <row r="29" spans="1:17">
      <c r="A29" s="3" t="s">
        <v>23</v>
      </c>
    </row>
    <row r="30" spans="1:17">
      <c r="A30" s="4"/>
      <c r="F30">
        <v>4758</v>
      </c>
      <c r="G30">
        <v>4758</v>
      </c>
      <c r="H30" t="s">
        <v>22</v>
      </c>
      <c r="I30">
        <v>0</v>
      </c>
      <c r="J30">
        <v>3816</v>
      </c>
      <c r="K30">
        <v>3816</v>
      </c>
      <c r="L30" t="s">
        <v>22</v>
      </c>
      <c r="M30">
        <v>0</v>
      </c>
      <c r="N30">
        <v>4287</v>
      </c>
      <c r="O30">
        <v>8574</v>
      </c>
      <c r="P30" t="s">
        <v>21</v>
      </c>
      <c r="Q30">
        <v>0</v>
      </c>
    </row>
    <row r="31" spans="1:17">
      <c r="A31" s="4" t="s">
        <v>9</v>
      </c>
      <c r="B31">
        <v>5788.2258064516127</v>
      </c>
      <c r="C31">
        <v>179435</v>
      </c>
      <c r="D31" t="s">
        <v>21</v>
      </c>
      <c r="E31">
        <v>1</v>
      </c>
      <c r="F31">
        <v>5973.090909090909</v>
      </c>
      <c r="G31">
        <v>197112</v>
      </c>
      <c r="H31" t="s">
        <v>21</v>
      </c>
      <c r="I31">
        <v>1</v>
      </c>
      <c r="J31">
        <v>5394.8571428571431</v>
      </c>
      <c r="K31">
        <v>188820</v>
      </c>
      <c r="L31" t="s">
        <v>21</v>
      </c>
      <c r="M31">
        <v>1</v>
      </c>
      <c r="N31">
        <v>5710.7777777777774</v>
      </c>
      <c r="O31">
        <v>565367</v>
      </c>
      <c r="P31" t="s">
        <v>21</v>
      </c>
      <c r="Q31">
        <v>1</v>
      </c>
    </row>
    <row r="32" spans="1:17">
      <c r="A32" s="4" t="s">
        <v>10</v>
      </c>
      <c r="B32">
        <v>6610.8481012658231</v>
      </c>
      <c r="C32">
        <v>522257</v>
      </c>
      <c r="D32" t="s">
        <v>21</v>
      </c>
      <c r="E32">
        <v>1</v>
      </c>
      <c r="F32">
        <v>5922.0392156862745</v>
      </c>
      <c r="G32">
        <v>604048</v>
      </c>
      <c r="H32" t="s">
        <v>21</v>
      </c>
      <c r="I32">
        <v>1</v>
      </c>
      <c r="J32">
        <v>5881.6595744680853</v>
      </c>
      <c r="K32">
        <v>552876</v>
      </c>
      <c r="L32" t="s">
        <v>21</v>
      </c>
      <c r="M32">
        <v>1</v>
      </c>
      <c r="N32">
        <v>6106.1127272727272</v>
      </c>
      <c r="O32">
        <v>1679181</v>
      </c>
      <c r="P32" t="s">
        <v>21</v>
      </c>
      <c r="Q32">
        <v>1</v>
      </c>
    </row>
    <row r="33" spans="1:17">
      <c r="A33" s="2" t="s">
        <v>11</v>
      </c>
    </row>
    <row r="34" spans="1:17">
      <c r="A34" s="3" t="s">
        <v>20</v>
      </c>
    </row>
    <row r="35" spans="1:17">
      <c r="A35" s="4" t="s">
        <v>10</v>
      </c>
      <c r="B35">
        <v>3365</v>
      </c>
      <c r="C35">
        <v>3365</v>
      </c>
      <c r="D35" t="s">
        <v>22</v>
      </c>
      <c r="E35">
        <v>0</v>
      </c>
      <c r="N35">
        <v>3365</v>
      </c>
      <c r="O35">
        <v>3365</v>
      </c>
      <c r="P35" t="s">
        <v>22</v>
      </c>
      <c r="Q35">
        <v>0</v>
      </c>
    </row>
    <row r="36" spans="1:17">
      <c r="A36" s="3" t="s">
        <v>8</v>
      </c>
    </row>
    <row r="37" spans="1:17">
      <c r="A37" s="4" t="s">
        <v>9</v>
      </c>
      <c r="B37">
        <v>3642.25</v>
      </c>
      <c r="C37">
        <v>14569</v>
      </c>
      <c r="D37" t="s">
        <v>21</v>
      </c>
      <c r="E37">
        <v>0</v>
      </c>
      <c r="F37">
        <v>5809.5</v>
      </c>
      <c r="G37">
        <v>34857</v>
      </c>
      <c r="H37" t="s">
        <v>21</v>
      </c>
      <c r="I37">
        <v>1</v>
      </c>
      <c r="J37">
        <v>6155.5</v>
      </c>
      <c r="K37">
        <v>24622</v>
      </c>
      <c r="L37" t="s">
        <v>21</v>
      </c>
      <c r="M37">
        <v>1</v>
      </c>
      <c r="N37">
        <v>5289.1428571428569</v>
      </c>
      <c r="O37">
        <v>74048</v>
      </c>
      <c r="P37" t="s">
        <v>21</v>
      </c>
      <c r="Q37">
        <v>1</v>
      </c>
    </row>
    <row r="38" spans="1:17">
      <c r="A38" s="4" t="s">
        <v>10</v>
      </c>
      <c r="B38">
        <v>5621</v>
      </c>
      <c r="C38">
        <v>11242</v>
      </c>
      <c r="D38" t="s">
        <v>21</v>
      </c>
      <c r="E38">
        <v>1</v>
      </c>
      <c r="F38">
        <v>1826</v>
      </c>
      <c r="G38">
        <v>7304</v>
      </c>
      <c r="H38" t="s">
        <v>21</v>
      </c>
      <c r="I38">
        <v>-1</v>
      </c>
      <c r="N38">
        <v>3091</v>
      </c>
      <c r="O38">
        <v>18546</v>
      </c>
      <c r="P38" t="s">
        <v>21</v>
      </c>
      <c r="Q38">
        <v>0</v>
      </c>
    </row>
    <row r="39" spans="1:17">
      <c r="A39" s="3" t="s">
        <v>23</v>
      </c>
    </row>
    <row r="40" spans="1:17">
      <c r="A40" s="4" t="s">
        <v>9</v>
      </c>
      <c r="B40">
        <v>4196.5384615384619</v>
      </c>
      <c r="C40">
        <v>54555</v>
      </c>
      <c r="D40" t="s">
        <v>21</v>
      </c>
      <c r="E40">
        <v>0</v>
      </c>
      <c r="F40">
        <v>3766.909090909091</v>
      </c>
      <c r="G40">
        <v>41436</v>
      </c>
      <c r="H40" t="s">
        <v>21</v>
      </c>
      <c r="I40">
        <v>0</v>
      </c>
      <c r="J40">
        <v>2763</v>
      </c>
      <c r="K40">
        <v>19341</v>
      </c>
      <c r="L40" t="s">
        <v>21</v>
      </c>
      <c r="M40">
        <v>-1</v>
      </c>
      <c r="N40">
        <v>3720.3870967741937</v>
      </c>
      <c r="O40">
        <v>115332</v>
      </c>
      <c r="P40" t="s">
        <v>21</v>
      </c>
      <c r="Q40">
        <v>0</v>
      </c>
    </row>
    <row r="41" spans="1:17">
      <c r="A41" s="4" t="s">
        <v>10</v>
      </c>
      <c r="B41">
        <v>3683.5</v>
      </c>
      <c r="C41">
        <v>103138</v>
      </c>
      <c r="D41" t="s">
        <v>21</v>
      </c>
      <c r="E41">
        <v>0</v>
      </c>
      <c r="F41">
        <v>3344.04</v>
      </c>
      <c r="G41">
        <v>83601</v>
      </c>
      <c r="H41" t="s">
        <v>21</v>
      </c>
      <c r="I41">
        <v>0</v>
      </c>
      <c r="J41">
        <v>3728.4827586206898</v>
      </c>
      <c r="K41">
        <v>108126</v>
      </c>
      <c r="L41" t="s">
        <v>21</v>
      </c>
      <c r="M41">
        <v>0</v>
      </c>
      <c r="N41">
        <v>3595.9146341463415</v>
      </c>
      <c r="O41">
        <v>294865</v>
      </c>
      <c r="P41" t="s">
        <v>21</v>
      </c>
      <c r="Q41">
        <v>0</v>
      </c>
    </row>
    <row r="42" spans="1:17">
      <c r="A42" s="2" t="s">
        <v>6</v>
      </c>
      <c r="B42">
        <v>5554.0837988826815</v>
      </c>
      <c r="C42">
        <v>994181</v>
      </c>
      <c r="D42" t="s">
        <v>21</v>
      </c>
      <c r="E42">
        <v>1</v>
      </c>
      <c r="F42">
        <v>5292.2618025751071</v>
      </c>
      <c r="G42">
        <v>1233097</v>
      </c>
      <c r="H42" t="s">
        <v>21</v>
      </c>
      <c r="I42">
        <v>1</v>
      </c>
      <c r="J42">
        <v>5398.2475247524753</v>
      </c>
      <c r="K42">
        <v>1090446</v>
      </c>
      <c r="L42" t="s">
        <v>21</v>
      </c>
      <c r="M42">
        <v>1</v>
      </c>
      <c r="N42">
        <v>5403.4592833876222</v>
      </c>
      <c r="O42">
        <v>3317724</v>
      </c>
      <c r="P42" t="s">
        <v>21</v>
      </c>
      <c r="Q42">
        <v>1</v>
      </c>
    </row>
    <row r="48" spans="1:17">
      <c r="E48" s="1" t="s">
        <v>2</v>
      </c>
      <c r="F48" t="s">
        <v>0</v>
      </c>
    </row>
    <row r="49" spans="5:6">
      <c r="E49" s="2" t="s">
        <v>3</v>
      </c>
      <c r="F49">
        <v>613192</v>
      </c>
    </row>
    <row r="50" spans="5:6">
      <c r="E50" s="2" t="s">
        <v>4</v>
      </c>
      <c r="F50">
        <v>309126</v>
      </c>
    </row>
    <row r="51" spans="5:6">
      <c r="E51" s="2" t="s">
        <v>5</v>
      </c>
      <c r="F51">
        <v>275265</v>
      </c>
    </row>
    <row r="52" spans="5:6">
      <c r="E52" s="2" t="s">
        <v>6</v>
      </c>
      <c r="F52">
        <v>1197583</v>
      </c>
    </row>
  </sheetData>
  <conditionalFormatting pivot="1" sqref="E21:E42 I21:I42 M21:M42 Q21:Q42">
    <cfRule type="iconSet" priority="1">
      <iconSet iconSet="3Symbols" showValue="0">
        <cfvo type="num" val="-1"/>
        <cfvo type="num" val="-0.5"/>
        <cfvo type="num" val="0.5"/>
      </iconSet>
    </cfRule>
  </conditionalFormatting>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9391C-035C-4512-B732-2735622D8C32}">
  <dimension ref="A1:N615"/>
  <sheetViews>
    <sheetView topLeftCell="H451" workbookViewId="0">
      <selection activeCell="J470" sqref="J470"/>
    </sheetView>
  </sheetViews>
  <sheetFormatPr defaultRowHeight="14.45"/>
  <cols>
    <col min="1" max="1" width="10.140625" bestFit="1" customWidth="1"/>
    <col min="2" max="2" width="9.28515625" bestFit="1" customWidth="1"/>
    <col min="3" max="3" width="9.85546875" bestFit="1" customWidth="1"/>
    <col min="4" max="4" width="13.28515625" bestFit="1" customWidth="1"/>
    <col min="5" max="5" width="12.140625" bestFit="1" customWidth="1"/>
    <col min="6" max="6" width="15.85546875" bestFit="1" customWidth="1"/>
    <col min="7" max="7" width="17.7109375" bestFit="1" customWidth="1"/>
    <col min="8" max="8" width="19.7109375" bestFit="1" customWidth="1"/>
    <col min="9" max="9" width="14.28515625" bestFit="1" customWidth="1"/>
    <col min="10" max="10" width="20.7109375" bestFit="1" customWidth="1"/>
    <col min="11" max="11" width="15.140625" bestFit="1" customWidth="1"/>
    <col min="12" max="12" width="15.5703125" bestFit="1" customWidth="1"/>
    <col min="13" max="13" width="13.5703125" bestFit="1" customWidth="1"/>
    <col min="14" max="14" width="10.5703125" style="6" bestFit="1" customWidth="1"/>
  </cols>
  <sheetData>
    <row r="1" spans="1:14">
      <c r="A1" t="s">
        <v>24</v>
      </c>
      <c r="B1" t="s">
        <v>25</v>
      </c>
      <c r="C1" t="s">
        <v>26</v>
      </c>
      <c r="D1" t="s">
        <v>27</v>
      </c>
      <c r="E1" t="s">
        <v>28</v>
      </c>
      <c r="F1" t="s">
        <v>29</v>
      </c>
      <c r="G1" t="s">
        <v>30</v>
      </c>
      <c r="H1" t="s">
        <v>31</v>
      </c>
      <c r="I1" t="s">
        <v>32</v>
      </c>
      <c r="J1" t="s">
        <v>33</v>
      </c>
      <c r="K1" t="s">
        <v>34</v>
      </c>
      <c r="L1" t="s">
        <v>35</v>
      </c>
      <c r="M1" t="s">
        <v>36</v>
      </c>
      <c r="N1" s="6" t="s">
        <v>37</v>
      </c>
    </row>
    <row r="2" spans="1:14">
      <c r="A2" t="s">
        <v>38</v>
      </c>
      <c r="B2" t="s">
        <v>23</v>
      </c>
      <c r="C2" t="s">
        <v>9</v>
      </c>
      <c r="D2">
        <v>0</v>
      </c>
      <c r="E2" t="s">
        <v>7</v>
      </c>
      <c r="F2" t="s">
        <v>9</v>
      </c>
      <c r="G2">
        <v>5849</v>
      </c>
      <c r="H2">
        <v>0</v>
      </c>
      <c r="J2">
        <v>360</v>
      </c>
      <c r="K2">
        <v>1</v>
      </c>
      <c r="L2" t="s">
        <v>5</v>
      </c>
      <c r="M2" t="s">
        <v>39</v>
      </c>
      <c r="N2" s="6">
        <f t="shared" ref="N2:N65" ca="1" si="0">RANDBETWEEN(DATE(2019,1,1),DATE(2019,12,31))</f>
        <v>43499</v>
      </c>
    </row>
    <row r="3" spans="1:14">
      <c r="A3" t="s">
        <v>40</v>
      </c>
      <c r="B3" t="s">
        <v>23</v>
      </c>
      <c r="C3" t="s">
        <v>10</v>
      </c>
      <c r="D3">
        <v>1</v>
      </c>
      <c r="E3" t="s">
        <v>7</v>
      </c>
      <c r="F3" t="s">
        <v>9</v>
      </c>
      <c r="G3">
        <v>4583</v>
      </c>
      <c r="H3">
        <v>1508</v>
      </c>
      <c r="I3">
        <v>1280</v>
      </c>
      <c r="J3">
        <v>360</v>
      </c>
      <c r="K3">
        <v>1</v>
      </c>
      <c r="L3" t="s">
        <v>3</v>
      </c>
      <c r="M3" t="s">
        <v>41</v>
      </c>
      <c r="N3" s="6">
        <f t="shared" ca="1" si="0"/>
        <v>43797</v>
      </c>
    </row>
    <row r="4" spans="1:14">
      <c r="A4" t="s">
        <v>42</v>
      </c>
      <c r="B4" t="s">
        <v>23</v>
      </c>
      <c r="C4" t="s">
        <v>10</v>
      </c>
      <c r="D4">
        <v>0</v>
      </c>
      <c r="E4" t="s">
        <v>7</v>
      </c>
      <c r="F4" t="s">
        <v>10</v>
      </c>
      <c r="G4">
        <v>3000</v>
      </c>
      <c r="H4">
        <v>0</v>
      </c>
      <c r="I4">
        <v>660</v>
      </c>
      <c r="J4">
        <v>360</v>
      </c>
      <c r="K4">
        <v>1</v>
      </c>
      <c r="L4" t="s">
        <v>5</v>
      </c>
      <c r="M4" t="s">
        <v>39</v>
      </c>
      <c r="N4" s="6">
        <f t="shared" ca="1" si="0"/>
        <v>43643</v>
      </c>
    </row>
    <row r="5" spans="1:14">
      <c r="A5" t="s">
        <v>43</v>
      </c>
      <c r="B5" t="s">
        <v>23</v>
      </c>
      <c r="C5" t="s">
        <v>10</v>
      </c>
      <c r="D5">
        <v>0</v>
      </c>
      <c r="E5" t="s">
        <v>11</v>
      </c>
      <c r="F5" t="s">
        <v>9</v>
      </c>
      <c r="G5">
        <v>2583</v>
      </c>
      <c r="H5">
        <v>2358</v>
      </c>
      <c r="I5">
        <v>120</v>
      </c>
      <c r="J5">
        <v>360</v>
      </c>
      <c r="K5">
        <v>1</v>
      </c>
      <c r="L5" t="s">
        <v>5</v>
      </c>
      <c r="M5" t="s">
        <v>39</v>
      </c>
      <c r="N5" s="6">
        <f t="shared" ca="1" si="0"/>
        <v>43485</v>
      </c>
    </row>
    <row r="6" spans="1:14">
      <c r="A6" t="s">
        <v>44</v>
      </c>
      <c r="B6" t="s">
        <v>23</v>
      </c>
      <c r="C6" t="s">
        <v>9</v>
      </c>
      <c r="D6">
        <v>0</v>
      </c>
      <c r="E6" t="s">
        <v>7</v>
      </c>
      <c r="F6" t="s">
        <v>9</v>
      </c>
      <c r="G6">
        <v>6000</v>
      </c>
      <c r="H6">
        <v>0</v>
      </c>
      <c r="I6">
        <v>141</v>
      </c>
      <c r="J6">
        <v>360</v>
      </c>
      <c r="K6">
        <v>1</v>
      </c>
      <c r="L6" t="s">
        <v>5</v>
      </c>
      <c r="M6" t="s">
        <v>39</v>
      </c>
      <c r="N6" s="6">
        <f t="shared" ca="1" si="0"/>
        <v>43540</v>
      </c>
    </row>
    <row r="7" spans="1:14">
      <c r="A7" t="s">
        <v>45</v>
      </c>
      <c r="B7" t="s">
        <v>23</v>
      </c>
      <c r="C7" t="s">
        <v>10</v>
      </c>
      <c r="D7">
        <v>2</v>
      </c>
      <c r="E7" t="s">
        <v>7</v>
      </c>
      <c r="F7" t="s">
        <v>10</v>
      </c>
      <c r="G7">
        <v>5417</v>
      </c>
      <c r="H7">
        <v>4196</v>
      </c>
      <c r="I7">
        <v>267</v>
      </c>
      <c r="J7">
        <v>360</v>
      </c>
      <c r="K7">
        <v>1</v>
      </c>
      <c r="L7" t="s">
        <v>5</v>
      </c>
      <c r="M7" t="s">
        <v>39</v>
      </c>
      <c r="N7" s="6">
        <f t="shared" ca="1" si="0"/>
        <v>43625</v>
      </c>
    </row>
    <row r="8" spans="1:14">
      <c r="A8" t="s">
        <v>46</v>
      </c>
      <c r="B8" t="s">
        <v>23</v>
      </c>
      <c r="C8" t="s">
        <v>10</v>
      </c>
      <c r="D8">
        <v>0</v>
      </c>
      <c r="E8" t="s">
        <v>11</v>
      </c>
      <c r="F8" t="s">
        <v>9</v>
      </c>
      <c r="G8">
        <v>2333</v>
      </c>
      <c r="H8">
        <v>1516</v>
      </c>
      <c r="I8">
        <v>95</v>
      </c>
      <c r="J8">
        <v>360</v>
      </c>
      <c r="K8">
        <v>1</v>
      </c>
      <c r="L8" t="s">
        <v>5</v>
      </c>
      <c r="M8" t="s">
        <v>39</v>
      </c>
      <c r="N8" s="6">
        <f t="shared" ca="1" si="0"/>
        <v>43782</v>
      </c>
    </row>
    <row r="9" spans="1:14">
      <c r="A9" t="s">
        <v>47</v>
      </c>
      <c r="B9" t="s">
        <v>23</v>
      </c>
      <c r="C9" t="s">
        <v>10</v>
      </c>
      <c r="D9">
        <v>3</v>
      </c>
      <c r="E9" t="s">
        <v>7</v>
      </c>
      <c r="F9" t="s">
        <v>9</v>
      </c>
      <c r="G9">
        <v>3036</v>
      </c>
      <c r="H9">
        <v>2504</v>
      </c>
      <c r="I9">
        <v>158</v>
      </c>
      <c r="J9">
        <v>360</v>
      </c>
      <c r="K9">
        <v>0</v>
      </c>
      <c r="L9" t="s">
        <v>4</v>
      </c>
      <c r="M9" t="s">
        <v>41</v>
      </c>
      <c r="N9" s="6">
        <f t="shared" ca="1" si="0"/>
        <v>43636</v>
      </c>
    </row>
    <row r="10" spans="1:14">
      <c r="A10" t="s">
        <v>48</v>
      </c>
      <c r="B10" t="s">
        <v>23</v>
      </c>
      <c r="C10" t="s">
        <v>10</v>
      </c>
      <c r="D10">
        <v>2</v>
      </c>
      <c r="E10" t="s">
        <v>7</v>
      </c>
      <c r="F10" t="s">
        <v>9</v>
      </c>
      <c r="G10">
        <v>4006</v>
      </c>
      <c r="H10">
        <v>1526</v>
      </c>
      <c r="I10">
        <v>168</v>
      </c>
      <c r="J10">
        <v>360</v>
      </c>
      <c r="K10">
        <v>1</v>
      </c>
      <c r="L10" t="s">
        <v>5</v>
      </c>
      <c r="M10" t="s">
        <v>39</v>
      </c>
      <c r="N10" s="6">
        <f t="shared" ca="1" si="0"/>
        <v>43811</v>
      </c>
    </row>
    <row r="11" spans="1:14">
      <c r="A11" t="s">
        <v>49</v>
      </c>
      <c r="B11" t="s">
        <v>23</v>
      </c>
      <c r="C11" t="s">
        <v>10</v>
      </c>
      <c r="D11">
        <v>1</v>
      </c>
      <c r="E11" t="s">
        <v>7</v>
      </c>
      <c r="F11" t="s">
        <v>9</v>
      </c>
      <c r="G11">
        <v>12841</v>
      </c>
      <c r="H11">
        <v>10968</v>
      </c>
      <c r="I11">
        <v>349</v>
      </c>
      <c r="J11">
        <v>360</v>
      </c>
      <c r="K11">
        <v>1</v>
      </c>
      <c r="L11" t="s">
        <v>4</v>
      </c>
      <c r="M11" t="s">
        <v>41</v>
      </c>
      <c r="N11" s="6">
        <f t="shared" ca="1" si="0"/>
        <v>43577</v>
      </c>
    </row>
    <row r="12" spans="1:14">
      <c r="A12" t="s">
        <v>50</v>
      </c>
      <c r="B12" t="s">
        <v>23</v>
      </c>
      <c r="C12" t="s">
        <v>10</v>
      </c>
      <c r="D12">
        <v>2</v>
      </c>
      <c r="E12" t="s">
        <v>7</v>
      </c>
      <c r="F12" t="s">
        <v>9</v>
      </c>
      <c r="G12">
        <v>3200</v>
      </c>
      <c r="H12">
        <v>700</v>
      </c>
      <c r="I12">
        <v>70</v>
      </c>
      <c r="J12">
        <v>360</v>
      </c>
      <c r="K12">
        <v>1</v>
      </c>
      <c r="L12" t="s">
        <v>5</v>
      </c>
      <c r="M12" t="s">
        <v>39</v>
      </c>
      <c r="N12" s="6">
        <f t="shared" ca="1" si="0"/>
        <v>43548</v>
      </c>
    </row>
    <row r="13" spans="1:14">
      <c r="A13" t="s">
        <v>51</v>
      </c>
      <c r="B13" t="s">
        <v>23</v>
      </c>
      <c r="C13" t="s">
        <v>10</v>
      </c>
      <c r="D13">
        <v>2</v>
      </c>
      <c r="E13" t="s">
        <v>7</v>
      </c>
      <c r="F13" t="s">
        <v>20</v>
      </c>
      <c r="G13">
        <v>2500</v>
      </c>
      <c r="H13">
        <v>1840</v>
      </c>
      <c r="I13">
        <v>109</v>
      </c>
      <c r="J13">
        <v>360</v>
      </c>
      <c r="K13">
        <v>1</v>
      </c>
      <c r="L13" t="s">
        <v>5</v>
      </c>
      <c r="M13" t="s">
        <v>39</v>
      </c>
      <c r="N13" s="6">
        <f t="shared" ca="1" si="0"/>
        <v>43519</v>
      </c>
    </row>
    <row r="14" spans="1:14">
      <c r="A14" t="s">
        <v>52</v>
      </c>
      <c r="B14" t="s">
        <v>23</v>
      </c>
      <c r="C14" t="s">
        <v>10</v>
      </c>
      <c r="D14">
        <v>2</v>
      </c>
      <c r="E14" t="s">
        <v>7</v>
      </c>
      <c r="F14" t="s">
        <v>9</v>
      </c>
      <c r="G14">
        <v>3073</v>
      </c>
      <c r="H14">
        <v>8106</v>
      </c>
      <c r="I14">
        <v>200</v>
      </c>
      <c r="J14">
        <v>360</v>
      </c>
      <c r="K14">
        <v>1</v>
      </c>
      <c r="L14" t="s">
        <v>5</v>
      </c>
      <c r="M14" t="s">
        <v>39</v>
      </c>
      <c r="N14" s="6">
        <f t="shared" ca="1" si="0"/>
        <v>43480</v>
      </c>
    </row>
    <row r="15" spans="1:14">
      <c r="A15" t="s">
        <v>53</v>
      </c>
      <c r="B15" t="s">
        <v>23</v>
      </c>
      <c r="C15" t="s">
        <v>9</v>
      </c>
      <c r="D15">
        <v>0</v>
      </c>
      <c r="E15" t="s">
        <v>7</v>
      </c>
      <c r="F15" t="s">
        <v>9</v>
      </c>
      <c r="G15">
        <v>1853</v>
      </c>
      <c r="H15">
        <v>2840</v>
      </c>
      <c r="I15">
        <v>114</v>
      </c>
      <c r="J15">
        <v>360</v>
      </c>
      <c r="K15">
        <v>1</v>
      </c>
      <c r="L15" t="s">
        <v>3</v>
      </c>
      <c r="M15" t="s">
        <v>41</v>
      </c>
      <c r="N15" s="6">
        <f t="shared" ca="1" si="0"/>
        <v>43515</v>
      </c>
    </row>
    <row r="16" spans="1:14">
      <c r="A16" t="s">
        <v>54</v>
      </c>
      <c r="B16" t="s">
        <v>23</v>
      </c>
      <c r="C16" t="s">
        <v>10</v>
      </c>
      <c r="D16">
        <v>2</v>
      </c>
      <c r="E16" t="s">
        <v>7</v>
      </c>
      <c r="F16" t="s">
        <v>9</v>
      </c>
      <c r="G16">
        <v>1299</v>
      </c>
      <c r="H16">
        <v>1086</v>
      </c>
      <c r="I16">
        <v>17</v>
      </c>
      <c r="J16">
        <v>120</v>
      </c>
      <c r="K16">
        <v>1</v>
      </c>
      <c r="L16" t="s">
        <v>5</v>
      </c>
      <c r="M16" t="s">
        <v>39</v>
      </c>
      <c r="N16" s="6">
        <f t="shared" ca="1" si="0"/>
        <v>43706</v>
      </c>
    </row>
    <row r="17" spans="1:14">
      <c r="A17" t="s">
        <v>55</v>
      </c>
      <c r="B17" t="s">
        <v>23</v>
      </c>
      <c r="C17" t="s">
        <v>9</v>
      </c>
      <c r="D17">
        <v>0</v>
      </c>
      <c r="E17" t="s">
        <v>7</v>
      </c>
      <c r="F17" t="s">
        <v>9</v>
      </c>
      <c r="G17">
        <v>4950</v>
      </c>
      <c r="H17">
        <v>0</v>
      </c>
      <c r="I17">
        <v>12500</v>
      </c>
      <c r="J17">
        <v>360</v>
      </c>
      <c r="K17">
        <v>1</v>
      </c>
      <c r="L17" t="s">
        <v>5</v>
      </c>
      <c r="M17" t="s">
        <v>39</v>
      </c>
      <c r="N17" s="6">
        <f t="shared" ca="1" si="0"/>
        <v>43603</v>
      </c>
    </row>
    <row r="18" spans="1:14">
      <c r="A18" t="s">
        <v>56</v>
      </c>
      <c r="B18" t="s">
        <v>23</v>
      </c>
      <c r="C18" t="s">
        <v>9</v>
      </c>
      <c r="D18">
        <v>1</v>
      </c>
      <c r="E18" t="s">
        <v>11</v>
      </c>
      <c r="F18" t="s">
        <v>9</v>
      </c>
      <c r="G18">
        <v>3596</v>
      </c>
      <c r="H18">
        <v>0</v>
      </c>
      <c r="I18">
        <v>100</v>
      </c>
      <c r="J18">
        <v>240</v>
      </c>
      <c r="L18" t="s">
        <v>5</v>
      </c>
      <c r="M18" t="s">
        <v>39</v>
      </c>
      <c r="N18" s="6">
        <f t="shared" ca="1" si="0"/>
        <v>43666</v>
      </c>
    </row>
    <row r="19" spans="1:14">
      <c r="A19" t="s">
        <v>57</v>
      </c>
      <c r="B19" t="s">
        <v>8</v>
      </c>
      <c r="C19" t="s">
        <v>9</v>
      </c>
      <c r="D19">
        <v>0</v>
      </c>
      <c r="E19" t="s">
        <v>7</v>
      </c>
      <c r="F19" t="s">
        <v>9</v>
      </c>
      <c r="G19">
        <v>3510</v>
      </c>
      <c r="H19">
        <v>0</v>
      </c>
      <c r="I19">
        <v>76</v>
      </c>
      <c r="J19">
        <v>360</v>
      </c>
      <c r="K19">
        <v>0</v>
      </c>
      <c r="L19" t="s">
        <v>5</v>
      </c>
      <c r="M19" t="s">
        <v>41</v>
      </c>
      <c r="N19" s="6">
        <f t="shared" ca="1" si="0"/>
        <v>43809</v>
      </c>
    </row>
    <row r="20" spans="1:14">
      <c r="A20" t="s">
        <v>58</v>
      </c>
      <c r="B20" t="s">
        <v>23</v>
      </c>
      <c r="C20" t="s">
        <v>10</v>
      </c>
      <c r="D20">
        <v>0</v>
      </c>
      <c r="E20" t="s">
        <v>11</v>
      </c>
      <c r="F20" t="s">
        <v>9</v>
      </c>
      <c r="G20">
        <v>4887</v>
      </c>
      <c r="H20">
        <v>0</v>
      </c>
      <c r="I20">
        <v>133</v>
      </c>
      <c r="J20">
        <v>360</v>
      </c>
      <c r="K20">
        <v>1</v>
      </c>
      <c r="L20" t="s">
        <v>3</v>
      </c>
      <c r="M20" t="s">
        <v>41</v>
      </c>
      <c r="N20" s="6">
        <f t="shared" ca="1" si="0"/>
        <v>43482</v>
      </c>
    </row>
    <row r="21" spans="1:14">
      <c r="A21" t="s">
        <v>59</v>
      </c>
      <c r="B21" t="s">
        <v>23</v>
      </c>
      <c r="C21" t="s">
        <v>10</v>
      </c>
      <c r="D21">
        <v>0</v>
      </c>
      <c r="E21" t="s">
        <v>7</v>
      </c>
      <c r="F21" t="s">
        <v>20</v>
      </c>
      <c r="G21">
        <v>2600</v>
      </c>
      <c r="H21">
        <v>3500</v>
      </c>
      <c r="I21">
        <v>115</v>
      </c>
      <c r="K21">
        <v>1</v>
      </c>
      <c r="L21" t="s">
        <v>5</v>
      </c>
      <c r="M21" t="s">
        <v>39</v>
      </c>
      <c r="N21" s="6">
        <f t="shared" ca="1" si="0"/>
        <v>43756</v>
      </c>
    </row>
    <row r="22" spans="1:14">
      <c r="A22" t="s">
        <v>60</v>
      </c>
      <c r="B22" t="s">
        <v>23</v>
      </c>
      <c r="C22" t="s">
        <v>10</v>
      </c>
      <c r="D22">
        <v>0</v>
      </c>
      <c r="E22" t="s">
        <v>11</v>
      </c>
      <c r="F22" t="s">
        <v>9</v>
      </c>
      <c r="G22">
        <v>7660</v>
      </c>
      <c r="H22">
        <v>0</v>
      </c>
      <c r="I22">
        <v>104</v>
      </c>
      <c r="J22">
        <v>360</v>
      </c>
      <c r="K22">
        <v>0</v>
      </c>
      <c r="L22" t="s">
        <v>5</v>
      </c>
      <c r="M22" t="s">
        <v>41</v>
      </c>
      <c r="N22" s="6">
        <f t="shared" ca="1" si="0"/>
        <v>43500</v>
      </c>
    </row>
    <row r="23" spans="1:14">
      <c r="A23" t="s">
        <v>61</v>
      </c>
      <c r="B23" t="s">
        <v>23</v>
      </c>
      <c r="C23" t="s">
        <v>10</v>
      </c>
      <c r="D23">
        <v>1</v>
      </c>
      <c r="E23" t="s">
        <v>7</v>
      </c>
      <c r="F23" t="s">
        <v>9</v>
      </c>
      <c r="G23">
        <v>5955</v>
      </c>
      <c r="H23">
        <v>5625</v>
      </c>
      <c r="I23">
        <v>315</v>
      </c>
      <c r="J23">
        <v>360</v>
      </c>
      <c r="K23">
        <v>1</v>
      </c>
      <c r="L23" t="s">
        <v>5</v>
      </c>
      <c r="M23" t="s">
        <v>39</v>
      </c>
      <c r="N23" s="6">
        <f t="shared" ca="1" si="0"/>
        <v>43566</v>
      </c>
    </row>
    <row r="24" spans="1:14">
      <c r="A24" t="s">
        <v>62</v>
      </c>
      <c r="B24" t="s">
        <v>23</v>
      </c>
      <c r="C24" t="s">
        <v>10</v>
      </c>
      <c r="D24">
        <v>0</v>
      </c>
      <c r="E24" t="s">
        <v>11</v>
      </c>
      <c r="F24" t="s">
        <v>9</v>
      </c>
      <c r="G24">
        <v>2600</v>
      </c>
      <c r="H24">
        <v>1911</v>
      </c>
      <c r="I24">
        <v>116</v>
      </c>
      <c r="J24">
        <v>360</v>
      </c>
      <c r="K24">
        <v>0</v>
      </c>
      <c r="L24" t="s">
        <v>4</v>
      </c>
      <c r="M24" t="s">
        <v>41</v>
      </c>
      <c r="N24" s="6">
        <f t="shared" ca="1" si="0"/>
        <v>43470</v>
      </c>
    </row>
    <row r="25" spans="1:14">
      <c r="A25" t="s">
        <v>63</v>
      </c>
      <c r="B25" t="s">
        <v>20</v>
      </c>
      <c r="C25" t="s">
        <v>10</v>
      </c>
      <c r="D25">
        <v>2</v>
      </c>
      <c r="E25" t="s">
        <v>11</v>
      </c>
      <c r="F25" t="s">
        <v>9</v>
      </c>
      <c r="G25">
        <v>3365</v>
      </c>
      <c r="H25">
        <v>1917</v>
      </c>
      <c r="I25">
        <v>112</v>
      </c>
      <c r="J25">
        <v>360</v>
      </c>
      <c r="K25">
        <v>0</v>
      </c>
      <c r="L25" t="s">
        <v>3</v>
      </c>
      <c r="M25" t="s">
        <v>41</v>
      </c>
      <c r="N25" s="6">
        <f t="shared" ca="1" si="0"/>
        <v>43649</v>
      </c>
    </row>
    <row r="26" spans="1:14">
      <c r="A26" t="s">
        <v>64</v>
      </c>
      <c r="B26" t="s">
        <v>23</v>
      </c>
      <c r="C26" t="s">
        <v>10</v>
      </c>
      <c r="D26">
        <v>1</v>
      </c>
      <c r="E26" t="s">
        <v>7</v>
      </c>
      <c r="F26" t="s">
        <v>20</v>
      </c>
      <c r="G26">
        <v>3717</v>
      </c>
      <c r="H26">
        <v>2925</v>
      </c>
      <c r="I26">
        <v>151</v>
      </c>
      <c r="J26">
        <v>360</v>
      </c>
      <c r="L26" t="s">
        <v>4</v>
      </c>
      <c r="M26" t="s">
        <v>41</v>
      </c>
      <c r="N26" s="6">
        <f t="shared" ca="1" si="0"/>
        <v>43598</v>
      </c>
    </row>
    <row r="27" spans="1:14">
      <c r="A27" t="s">
        <v>65</v>
      </c>
      <c r="B27" t="s">
        <v>23</v>
      </c>
      <c r="C27" t="s">
        <v>10</v>
      </c>
      <c r="D27">
        <v>0</v>
      </c>
      <c r="E27" t="s">
        <v>7</v>
      </c>
      <c r="F27" t="s">
        <v>10</v>
      </c>
      <c r="G27">
        <v>9560</v>
      </c>
      <c r="H27">
        <v>0</v>
      </c>
      <c r="I27">
        <v>191</v>
      </c>
      <c r="J27">
        <v>360</v>
      </c>
      <c r="K27">
        <v>1</v>
      </c>
      <c r="L27" t="s">
        <v>4</v>
      </c>
      <c r="M27" t="s">
        <v>39</v>
      </c>
      <c r="N27" s="6">
        <f t="shared" ca="1" si="0"/>
        <v>43808</v>
      </c>
    </row>
    <row r="28" spans="1:14">
      <c r="A28" t="s">
        <v>66</v>
      </c>
      <c r="B28" t="s">
        <v>23</v>
      </c>
      <c r="C28" t="s">
        <v>10</v>
      </c>
      <c r="D28">
        <v>0</v>
      </c>
      <c r="E28" t="s">
        <v>7</v>
      </c>
      <c r="F28" t="s">
        <v>9</v>
      </c>
      <c r="G28">
        <v>2799</v>
      </c>
      <c r="H28">
        <v>2253</v>
      </c>
      <c r="I28">
        <v>122</v>
      </c>
      <c r="J28">
        <v>360</v>
      </c>
      <c r="K28">
        <v>1</v>
      </c>
      <c r="L28" t="s">
        <v>4</v>
      </c>
      <c r="M28" t="s">
        <v>39</v>
      </c>
      <c r="N28" s="6">
        <f t="shared" ca="1" si="0"/>
        <v>43573</v>
      </c>
    </row>
    <row r="29" spans="1:14">
      <c r="A29" t="s">
        <v>67</v>
      </c>
      <c r="B29" t="s">
        <v>23</v>
      </c>
      <c r="C29" t="s">
        <v>10</v>
      </c>
      <c r="D29">
        <v>2</v>
      </c>
      <c r="E29" t="s">
        <v>11</v>
      </c>
      <c r="F29" t="s">
        <v>9</v>
      </c>
      <c r="G29">
        <v>4226</v>
      </c>
      <c r="H29">
        <v>1040</v>
      </c>
      <c r="I29">
        <v>110</v>
      </c>
      <c r="J29">
        <v>360</v>
      </c>
      <c r="K29">
        <v>1</v>
      </c>
      <c r="L29" t="s">
        <v>5</v>
      </c>
      <c r="M29" t="s">
        <v>39</v>
      </c>
      <c r="N29" s="6">
        <f t="shared" ca="1" si="0"/>
        <v>43737</v>
      </c>
    </row>
    <row r="30" spans="1:14">
      <c r="A30" t="s">
        <v>68</v>
      </c>
      <c r="B30" t="s">
        <v>23</v>
      </c>
      <c r="C30" t="s">
        <v>9</v>
      </c>
      <c r="D30">
        <v>0</v>
      </c>
      <c r="E30" t="s">
        <v>11</v>
      </c>
      <c r="F30" t="s">
        <v>9</v>
      </c>
      <c r="G30">
        <v>1442</v>
      </c>
      <c r="H30">
        <v>0</v>
      </c>
      <c r="I30">
        <v>35</v>
      </c>
      <c r="J30">
        <v>360</v>
      </c>
      <c r="K30">
        <v>1</v>
      </c>
      <c r="L30" t="s">
        <v>5</v>
      </c>
      <c r="M30" t="s">
        <v>41</v>
      </c>
      <c r="N30" s="6">
        <f t="shared" ca="1" si="0"/>
        <v>43686</v>
      </c>
    </row>
    <row r="31" spans="1:14">
      <c r="A31" t="s">
        <v>69</v>
      </c>
      <c r="B31" t="s">
        <v>8</v>
      </c>
      <c r="C31" t="s">
        <v>9</v>
      </c>
      <c r="D31">
        <v>2</v>
      </c>
      <c r="E31" t="s">
        <v>7</v>
      </c>
      <c r="F31" t="s">
        <v>20</v>
      </c>
      <c r="G31">
        <v>3750</v>
      </c>
      <c r="H31">
        <v>2083</v>
      </c>
      <c r="I31">
        <v>120</v>
      </c>
      <c r="J31">
        <v>360</v>
      </c>
      <c r="K31">
        <v>1</v>
      </c>
      <c r="L31" t="s">
        <v>4</v>
      </c>
      <c r="M31" t="s">
        <v>39</v>
      </c>
      <c r="N31" s="6">
        <f t="shared" ca="1" si="0"/>
        <v>43577</v>
      </c>
    </row>
    <row r="32" spans="1:14">
      <c r="A32" t="s">
        <v>70</v>
      </c>
      <c r="B32" t="s">
        <v>23</v>
      </c>
      <c r="C32" t="s">
        <v>10</v>
      </c>
      <c r="D32">
        <v>1</v>
      </c>
      <c r="E32" t="s">
        <v>7</v>
      </c>
      <c r="F32" t="s">
        <v>20</v>
      </c>
      <c r="G32">
        <v>4166</v>
      </c>
      <c r="H32">
        <v>3369</v>
      </c>
      <c r="I32">
        <v>201</v>
      </c>
      <c r="J32">
        <v>360</v>
      </c>
      <c r="L32" t="s">
        <v>5</v>
      </c>
      <c r="M32" t="s">
        <v>41</v>
      </c>
      <c r="N32" s="6">
        <f t="shared" ca="1" si="0"/>
        <v>43818</v>
      </c>
    </row>
    <row r="33" spans="1:14">
      <c r="A33" t="s">
        <v>71</v>
      </c>
      <c r="B33" t="s">
        <v>23</v>
      </c>
      <c r="C33" t="s">
        <v>9</v>
      </c>
      <c r="D33">
        <v>0</v>
      </c>
      <c r="E33" t="s">
        <v>7</v>
      </c>
      <c r="F33" t="s">
        <v>9</v>
      </c>
      <c r="G33">
        <v>3167</v>
      </c>
      <c r="H33">
        <v>0</v>
      </c>
      <c r="I33">
        <v>74</v>
      </c>
      <c r="J33">
        <v>360</v>
      </c>
      <c r="K33">
        <v>1</v>
      </c>
      <c r="L33" t="s">
        <v>5</v>
      </c>
      <c r="M33" t="s">
        <v>41</v>
      </c>
      <c r="N33" s="6">
        <f t="shared" ca="1" si="0"/>
        <v>43748</v>
      </c>
    </row>
    <row r="34" spans="1:14">
      <c r="A34" t="s">
        <v>72</v>
      </c>
      <c r="B34" t="s">
        <v>23</v>
      </c>
      <c r="C34" t="s">
        <v>9</v>
      </c>
      <c r="D34">
        <v>1</v>
      </c>
      <c r="E34" t="s">
        <v>7</v>
      </c>
      <c r="F34" t="s">
        <v>10</v>
      </c>
      <c r="G34">
        <v>4692</v>
      </c>
      <c r="H34">
        <v>0</v>
      </c>
      <c r="I34">
        <v>106</v>
      </c>
      <c r="J34">
        <v>360</v>
      </c>
      <c r="K34">
        <v>1</v>
      </c>
      <c r="L34" t="s">
        <v>3</v>
      </c>
      <c r="M34" t="s">
        <v>41</v>
      </c>
      <c r="N34" s="6">
        <f t="shared" ca="1" si="0"/>
        <v>43676</v>
      </c>
    </row>
    <row r="35" spans="1:14">
      <c r="A35" t="s">
        <v>73</v>
      </c>
      <c r="B35" t="s">
        <v>23</v>
      </c>
      <c r="C35" t="s">
        <v>10</v>
      </c>
      <c r="D35">
        <v>0</v>
      </c>
      <c r="E35" t="s">
        <v>7</v>
      </c>
      <c r="F35" t="s">
        <v>9</v>
      </c>
      <c r="G35">
        <v>3500</v>
      </c>
      <c r="H35">
        <v>1667</v>
      </c>
      <c r="I35">
        <v>114</v>
      </c>
      <c r="J35">
        <v>360</v>
      </c>
      <c r="K35">
        <v>1</v>
      </c>
      <c r="L35" t="s">
        <v>4</v>
      </c>
      <c r="M35" t="s">
        <v>39</v>
      </c>
      <c r="N35" s="6">
        <f t="shared" ca="1" si="0"/>
        <v>43584</v>
      </c>
    </row>
    <row r="36" spans="1:14">
      <c r="A36" t="s">
        <v>74</v>
      </c>
      <c r="B36" t="s">
        <v>23</v>
      </c>
      <c r="C36" t="s">
        <v>9</v>
      </c>
      <c r="D36">
        <v>3</v>
      </c>
      <c r="E36" t="s">
        <v>7</v>
      </c>
      <c r="F36" t="s">
        <v>9</v>
      </c>
      <c r="G36">
        <v>12500</v>
      </c>
      <c r="H36">
        <v>3000</v>
      </c>
      <c r="I36">
        <v>32000</v>
      </c>
      <c r="J36">
        <v>360</v>
      </c>
      <c r="K36">
        <v>1</v>
      </c>
      <c r="L36" t="s">
        <v>3</v>
      </c>
      <c r="M36" t="s">
        <v>41</v>
      </c>
      <c r="N36" s="6">
        <f t="shared" ca="1" si="0"/>
        <v>43720</v>
      </c>
    </row>
    <row r="37" spans="1:14">
      <c r="A37" t="s">
        <v>75</v>
      </c>
      <c r="B37" t="s">
        <v>23</v>
      </c>
      <c r="C37" t="s">
        <v>10</v>
      </c>
      <c r="D37">
        <v>0</v>
      </c>
      <c r="E37" t="s">
        <v>7</v>
      </c>
      <c r="F37" t="s">
        <v>9</v>
      </c>
      <c r="G37">
        <v>2275</v>
      </c>
      <c r="H37">
        <v>2067</v>
      </c>
      <c r="J37">
        <v>360</v>
      </c>
      <c r="K37">
        <v>1</v>
      </c>
      <c r="L37" t="s">
        <v>5</v>
      </c>
      <c r="M37" t="s">
        <v>39</v>
      </c>
      <c r="N37" s="6">
        <f t="shared" ca="1" si="0"/>
        <v>43492</v>
      </c>
    </row>
    <row r="38" spans="1:14">
      <c r="A38" t="s">
        <v>76</v>
      </c>
      <c r="B38" t="s">
        <v>23</v>
      </c>
      <c r="C38" t="s">
        <v>10</v>
      </c>
      <c r="D38">
        <v>0</v>
      </c>
      <c r="E38" t="s">
        <v>7</v>
      </c>
      <c r="F38" t="s">
        <v>9</v>
      </c>
      <c r="G38">
        <v>1828</v>
      </c>
      <c r="H38">
        <v>1330</v>
      </c>
      <c r="I38">
        <v>100</v>
      </c>
      <c r="K38">
        <v>0</v>
      </c>
      <c r="L38" t="s">
        <v>5</v>
      </c>
      <c r="M38" t="s">
        <v>41</v>
      </c>
      <c r="N38" s="6">
        <f t="shared" ca="1" si="0"/>
        <v>43533</v>
      </c>
    </row>
    <row r="39" spans="1:14">
      <c r="A39" t="s">
        <v>77</v>
      </c>
      <c r="B39" t="s">
        <v>8</v>
      </c>
      <c r="C39" t="s">
        <v>10</v>
      </c>
      <c r="D39">
        <v>0</v>
      </c>
      <c r="E39" t="s">
        <v>7</v>
      </c>
      <c r="F39" t="s">
        <v>9</v>
      </c>
      <c r="G39">
        <v>3667</v>
      </c>
      <c r="H39">
        <v>1459</v>
      </c>
      <c r="I39">
        <v>144</v>
      </c>
      <c r="J39">
        <v>360</v>
      </c>
      <c r="K39">
        <v>1</v>
      </c>
      <c r="L39" t="s">
        <v>4</v>
      </c>
      <c r="M39" t="s">
        <v>39</v>
      </c>
      <c r="N39" s="6">
        <f t="shared" ca="1" si="0"/>
        <v>43579</v>
      </c>
    </row>
    <row r="40" spans="1:14">
      <c r="A40" t="s">
        <v>78</v>
      </c>
      <c r="B40" t="s">
        <v>23</v>
      </c>
      <c r="C40" t="s">
        <v>9</v>
      </c>
      <c r="D40">
        <v>0</v>
      </c>
      <c r="E40" t="s">
        <v>7</v>
      </c>
      <c r="F40" t="s">
        <v>9</v>
      </c>
      <c r="G40">
        <v>4166</v>
      </c>
      <c r="H40">
        <v>7210</v>
      </c>
      <c r="I40">
        <v>184</v>
      </c>
      <c r="J40">
        <v>360</v>
      </c>
      <c r="K40">
        <v>1</v>
      </c>
      <c r="L40" t="s">
        <v>5</v>
      </c>
      <c r="M40" t="s">
        <v>39</v>
      </c>
      <c r="N40" s="6">
        <f t="shared" ca="1" si="0"/>
        <v>43797</v>
      </c>
    </row>
    <row r="41" spans="1:14">
      <c r="A41" t="s">
        <v>79</v>
      </c>
      <c r="B41" t="s">
        <v>23</v>
      </c>
      <c r="C41" t="s">
        <v>9</v>
      </c>
      <c r="D41">
        <v>0</v>
      </c>
      <c r="E41" t="s">
        <v>11</v>
      </c>
      <c r="F41" t="s">
        <v>9</v>
      </c>
      <c r="G41">
        <v>3748</v>
      </c>
      <c r="H41">
        <v>1668</v>
      </c>
      <c r="I41">
        <v>110</v>
      </c>
      <c r="J41">
        <v>360</v>
      </c>
      <c r="K41">
        <v>1</v>
      </c>
      <c r="L41" t="s">
        <v>4</v>
      </c>
      <c r="M41" t="s">
        <v>39</v>
      </c>
      <c r="N41" s="6">
        <f t="shared" ca="1" si="0"/>
        <v>43641</v>
      </c>
    </row>
    <row r="42" spans="1:14">
      <c r="A42" t="s">
        <v>80</v>
      </c>
      <c r="B42" t="s">
        <v>23</v>
      </c>
      <c r="C42" t="s">
        <v>9</v>
      </c>
      <c r="D42">
        <v>0</v>
      </c>
      <c r="E42" t="s">
        <v>7</v>
      </c>
      <c r="F42" t="s">
        <v>9</v>
      </c>
      <c r="G42">
        <v>3600</v>
      </c>
      <c r="H42">
        <v>0</v>
      </c>
      <c r="I42">
        <v>80</v>
      </c>
      <c r="J42">
        <v>360</v>
      </c>
      <c r="K42">
        <v>1</v>
      </c>
      <c r="L42" t="s">
        <v>5</v>
      </c>
      <c r="M42" t="s">
        <v>41</v>
      </c>
      <c r="N42" s="6">
        <f t="shared" ca="1" si="0"/>
        <v>43493</v>
      </c>
    </row>
    <row r="43" spans="1:14">
      <c r="A43" t="s">
        <v>81</v>
      </c>
      <c r="B43" t="s">
        <v>23</v>
      </c>
      <c r="C43" t="s">
        <v>9</v>
      </c>
      <c r="D43">
        <v>0</v>
      </c>
      <c r="E43" t="s">
        <v>7</v>
      </c>
      <c r="F43" t="s">
        <v>9</v>
      </c>
      <c r="G43">
        <v>1800</v>
      </c>
      <c r="H43">
        <v>1213</v>
      </c>
      <c r="I43">
        <v>470</v>
      </c>
      <c r="J43">
        <v>360</v>
      </c>
      <c r="K43">
        <v>1</v>
      </c>
      <c r="L43" t="s">
        <v>5</v>
      </c>
      <c r="M43" t="s">
        <v>39</v>
      </c>
      <c r="N43" s="6">
        <f t="shared" ca="1" si="0"/>
        <v>43677</v>
      </c>
    </row>
    <row r="44" spans="1:14">
      <c r="A44" t="s">
        <v>82</v>
      </c>
      <c r="B44" t="s">
        <v>23</v>
      </c>
      <c r="C44" t="s">
        <v>10</v>
      </c>
      <c r="D44">
        <v>0</v>
      </c>
      <c r="E44" t="s">
        <v>7</v>
      </c>
      <c r="F44" t="s">
        <v>9</v>
      </c>
      <c r="G44">
        <v>2400</v>
      </c>
      <c r="H44">
        <v>0</v>
      </c>
      <c r="I44">
        <v>75</v>
      </c>
      <c r="J44">
        <v>360</v>
      </c>
      <c r="L44" t="s">
        <v>5</v>
      </c>
      <c r="M44" t="s">
        <v>39</v>
      </c>
      <c r="N44" s="6">
        <f t="shared" ca="1" si="0"/>
        <v>43804</v>
      </c>
    </row>
    <row r="45" spans="1:14">
      <c r="A45" t="s">
        <v>83</v>
      </c>
      <c r="B45" t="s">
        <v>23</v>
      </c>
      <c r="C45" t="s">
        <v>10</v>
      </c>
      <c r="D45">
        <v>0</v>
      </c>
      <c r="E45" t="s">
        <v>7</v>
      </c>
      <c r="F45" t="s">
        <v>9</v>
      </c>
      <c r="G45">
        <v>3941</v>
      </c>
      <c r="H45">
        <v>2336</v>
      </c>
      <c r="I45">
        <v>134</v>
      </c>
      <c r="J45">
        <v>360</v>
      </c>
      <c r="K45">
        <v>1</v>
      </c>
      <c r="L45" t="s">
        <v>4</v>
      </c>
      <c r="M45" t="s">
        <v>39</v>
      </c>
      <c r="N45" s="6">
        <f t="shared" ca="1" si="0"/>
        <v>43623</v>
      </c>
    </row>
    <row r="46" spans="1:14">
      <c r="A46" t="s">
        <v>84</v>
      </c>
      <c r="B46" t="s">
        <v>23</v>
      </c>
      <c r="C46" t="s">
        <v>10</v>
      </c>
      <c r="D46">
        <v>0</v>
      </c>
      <c r="E46" t="s">
        <v>11</v>
      </c>
      <c r="F46" t="s">
        <v>10</v>
      </c>
      <c r="G46">
        <v>4695</v>
      </c>
      <c r="H46">
        <v>0</v>
      </c>
      <c r="I46">
        <v>96</v>
      </c>
      <c r="K46">
        <v>1</v>
      </c>
      <c r="L46" t="s">
        <v>5</v>
      </c>
      <c r="M46" t="s">
        <v>39</v>
      </c>
      <c r="N46" s="6">
        <f t="shared" ca="1" si="0"/>
        <v>43718</v>
      </c>
    </row>
    <row r="47" spans="1:14">
      <c r="A47" t="s">
        <v>85</v>
      </c>
      <c r="B47" t="s">
        <v>8</v>
      </c>
      <c r="C47" t="s">
        <v>9</v>
      </c>
      <c r="D47">
        <v>0</v>
      </c>
      <c r="E47" t="s">
        <v>7</v>
      </c>
      <c r="F47" t="s">
        <v>9</v>
      </c>
      <c r="G47">
        <v>3410</v>
      </c>
      <c r="H47">
        <v>0</v>
      </c>
      <c r="I47">
        <v>88</v>
      </c>
      <c r="K47">
        <v>1</v>
      </c>
      <c r="L47" t="s">
        <v>5</v>
      </c>
      <c r="M47" t="s">
        <v>39</v>
      </c>
      <c r="N47" s="6">
        <f t="shared" ca="1" si="0"/>
        <v>43624</v>
      </c>
    </row>
    <row r="48" spans="1:14">
      <c r="A48" t="s">
        <v>86</v>
      </c>
      <c r="B48" t="s">
        <v>23</v>
      </c>
      <c r="C48" t="s">
        <v>10</v>
      </c>
      <c r="D48">
        <v>1</v>
      </c>
      <c r="E48" t="s">
        <v>7</v>
      </c>
      <c r="F48" t="s">
        <v>9</v>
      </c>
      <c r="G48">
        <v>5649</v>
      </c>
      <c r="H48">
        <v>0</v>
      </c>
      <c r="I48">
        <v>44</v>
      </c>
      <c r="J48">
        <v>360</v>
      </c>
      <c r="K48">
        <v>1</v>
      </c>
      <c r="L48" t="s">
        <v>5</v>
      </c>
      <c r="M48" t="s">
        <v>39</v>
      </c>
      <c r="N48" s="6">
        <f t="shared" ca="1" si="0"/>
        <v>43615</v>
      </c>
    </row>
    <row r="49" spans="1:14">
      <c r="A49" t="s">
        <v>87</v>
      </c>
      <c r="B49" t="s">
        <v>23</v>
      </c>
      <c r="C49" t="s">
        <v>10</v>
      </c>
      <c r="D49">
        <v>0</v>
      </c>
      <c r="E49" t="s">
        <v>7</v>
      </c>
      <c r="F49" t="s">
        <v>9</v>
      </c>
      <c r="G49">
        <v>5821</v>
      </c>
      <c r="H49">
        <v>0</v>
      </c>
      <c r="I49">
        <v>144</v>
      </c>
      <c r="J49">
        <v>360</v>
      </c>
      <c r="K49">
        <v>1</v>
      </c>
      <c r="L49" t="s">
        <v>5</v>
      </c>
      <c r="M49" t="s">
        <v>39</v>
      </c>
      <c r="N49" s="6">
        <f t="shared" ca="1" si="0"/>
        <v>43484</v>
      </c>
    </row>
    <row r="50" spans="1:14">
      <c r="A50" t="s">
        <v>88</v>
      </c>
      <c r="B50" t="s">
        <v>8</v>
      </c>
      <c r="C50" t="s">
        <v>10</v>
      </c>
      <c r="D50">
        <v>0</v>
      </c>
      <c r="E50" t="s">
        <v>7</v>
      </c>
      <c r="F50" t="s">
        <v>9</v>
      </c>
      <c r="G50">
        <v>2645</v>
      </c>
      <c r="H50">
        <v>3440</v>
      </c>
      <c r="I50">
        <v>120</v>
      </c>
      <c r="J50">
        <v>360</v>
      </c>
      <c r="K50">
        <v>0</v>
      </c>
      <c r="L50" t="s">
        <v>5</v>
      </c>
      <c r="M50" t="s">
        <v>41</v>
      </c>
      <c r="N50" s="6">
        <f t="shared" ca="1" si="0"/>
        <v>43660</v>
      </c>
    </row>
    <row r="51" spans="1:14">
      <c r="A51" t="s">
        <v>89</v>
      </c>
      <c r="B51" t="s">
        <v>8</v>
      </c>
      <c r="C51" t="s">
        <v>9</v>
      </c>
      <c r="D51">
        <v>0</v>
      </c>
      <c r="E51" t="s">
        <v>7</v>
      </c>
      <c r="F51" t="s">
        <v>9</v>
      </c>
      <c r="G51">
        <v>4000</v>
      </c>
      <c r="H51">
        <v>2275</v>
      </c>
      <c r="I51">
        <v>144</v>
      </c>
      <c r="J51">
        <v>360</v>
      </c>
      <c r="K51">
        <v>1</v>
      </c>
      <c r="L51" t="s">
        <v>4</v>
      </c>
      <c r="M51" t="s">
        <v>39</v>
      </c>
      <c r="N51" s="6">
        <f t="shared" ca="1" si="0"/>
        <v>43547</v>
      </c>
    </row>
    <row r="52" spans="1:14">
      <c r="A52" t="s">
        <v>90</v>
      </c>
      <c r="B52" t="s">
        <v>8</v>
      </c>
      <c r="C52" t="s">
        <v>10</v>
      </c>
      <c r="D52">
        <v>0</v>
      </c>
      <c r="E52" t="s">
        <v>11</v>
      </c>
      <c r="F52" t="s">
        <v>9</v>
      </c>
      <c r="G52">
        <v>1928</v>
      </c>
      <c r="H52">
        <v>1644</v>
      </c>
      <c r="I52">
        <v>100</v>
      </c>
      <c r="J52">
        <v>360</v>
      </c>
      <c r="K52">
        <v>1</v>
      </c>
      <c r="L52" t="s">
        <v>4</v>
      </c>
      <c r="M52" t="s">
        <v>39</v>
      </c>
      <c r="N52" s="6">
        <f t="shared" ca="1" si="0"/>
        <v>43815</v>
      </c>
    </row>
    <row r="53" spans="1:14">
      <c r="A53" t="s">
        <v>91</v>
      </c>
      <c r="B53" t="s">
        <v>8</v>
      </c>
      <c r="C53" t="s">
        <v>9</v>
      </c>
      <c r="D53">
        <v>0</v>
      </c>
      <c r="E53" t="s">
        <v>7</v>
      </c>
      <c r="F53" t="s">
        <v>9</v>
      </c>
      <c r="G53">
        <v>3086</v>
      </c>
      <c r="H53">
        <v>0</v>
      </c>
      <c r="I53">
        <v>120</v>
      </c>
      <c r="J53">
        <v>360</v>
      </c>
      <c r="K53">
        <v>1</v>
      </c>
      <c r="L53" t="s">
        <v>4</v>
      </c>
      <c r="M53" t="s">
        <v>39</v>
      </c>
      <c r="N53" s="6">
        <f t="shared" ca="1" si="0"/>
        <v>43663</v>
      </c>
    </row>
    <row r="54" spans="1:14">
      <c r="A54" t="s">
        <v>92</v>
      </c>
      <c r="B54" t="s">
        <v>8</v>
      </c>
      <c r="C54" t="s">
        <v>9</v>
      </c>
      <c r="D54">
        <v>0</v>
      </c>
      <c r="E54" t="s">
        <v>7</v>
      </c>
      <c r="F54" t="s">
        <v>9</v>
      </c>
      <c r="G54">
        <v>4230</v>
      </c>
      <c r="H54">
        <v>0</v>
      </c>
      <c r="I54">
        <v>112</v>
      </c>
      <c r="J54">
        <v>360</v>
      </c>
      <c r="K54">
        <v>1</v>
      </c>
      <c r="L54" t="s">
        <v>4</v>
      </c>
      <c r="M54" t="s">
        <v>41</v>
      </c>
      <c r="N54" s="6">
        <f t="shared" ca="1" si="0"/>
        <v>43820</v>
      </c>
    </row>
    <row r="55" spans="1:14">
      <c r="A55" t="s">
        <v>93</v>
      </c>
      <c r="B55" t="s">
        <v>23</v>
      </c>
      <c r="C55" t="s">
        <v>10</v>
      </c>
      <c r="D55">
        <v>2</v>
      </c>
      <c r="E55" t="s">
        <v>7</v>
      </c>
      <c r="F55" t="s">
        <v>9</v>
      </c>
      <c r="G55">
        <v>4616</v>
      </c>
      <c r="H55">
        <v>0</v>
      </c>
      <c r="I55">
        <v>134</v>
      </c>
      <c r="J55">
        <v>360</v>
      </c>
      <c r="K55">
        <v>1</v>
      </c>
      <c r="L55" t="s">
        <v>5</v>
      </c>
      <c r="M55" t="s">
        <v>41</v>
      </c>
      <c r="N55" s="6">
        <f t="shared" ca="1" si="0"/>
        <v>43795</v>
      </c>
    </row>
    <row r="56" spans="1:14">
      <c r="A56" t="s">
        <v>94</v>
      </c>
      <c r="B56" t="s">
        <v>8</v>
      </c>
      <c r="C56" t="s">
        <v>10</v>
      </c>
      <c r="D56">
        <v>1</v>
      </c>
      <c r="E56" t="s">
        <v>7</v>
      </c>
      <c r="F56" t="s">
        <v>10</v>
      </c>
      <c r="G56">
        <v>11500</v>
      </c>
      <c r="H56">
        <v>0</v>
      </c>
      <c r="I56">
        <v>2860</v>
      </c>
      <c r="J56">
        <v>360</v>
      </c>
      <c r="K56">
        <v>0</v>
      </c>
      <c r="L56" t="s">
        <v>5</v>
      </c>
      <c r="M56" t="s">
        <v>41</v>
      </c>
      <c r="N56" s="6">
        <f t="shared" ca="1" si="0"/>
        <v>43618</v>
      </c>
    </row>
    <row r="57" spans="1:14">
      <c r="A57" t="s">
        <v>95</v>
      </c>
      <c r="B57" t="s">
        <v>23</v>
      </c>
      <c r="C57" t="s">
        <v>10</v>
      </c>
      <c r="D57">
        <v>2</v>
      </c>
      <c r="E57" t="s">
        <v>7</v>
      </c>
      <c r="F57" t="s">
        <v>9</v>
      </c>
      <c r="G57">
        <v>2708</v>
      </c>
      <c r="H57">
        <v>1167</v>
      </c>
      <c r="I57">
        <v>97</v>
      </c>
      <c r="J57">
        <v>360</v>
      </c>
      <c r="K57">
        <v>1</v>
      </c>
      <c r="L57" t="s">
        <v>4</v>
      </c>
      <c r="M57" t="s">
        <v>39</v>
      </c>
      <c r="N57" s="6">
        <f t="shared" ca="1" si="0"/>
        <v>43787</v>
      </c>
    </row>
    <row r="58" spans="1:14">
      <c r="A58" t="s">
        <v>96</v>
      </c>
      <c r="B58" t="s">
        <v>23</v>
      </c>
      <c r="C58" t="s">
        <v>10</v>
      </c>
      <c r="D58">
        <v>0</v>
      </c>
      <c r="E58" t="s">
        <v>7</v>
      </c>
      <c r="F58" t="s">
        <v>9</v>
      </c>
      <c r="G58">
        <v>2132</v>
      </c>
      <c r="H58">
        <v>1591</v>
      </c>
      <c r="I58">
        <v>96</v>
      </c>
      <c r="J58">
        <v>360</v>
      </c>
      <c r="K58">
        <v>1</v>
      </c>
      <c r="L58" t="s">
        <v>4</v>
      </c>
      <c r="M58" t="s">
        <v>39</v>
      </c>
      <c r="N58" s="6">
        <f t="shared" ca="1" si="0"/>
        <v>43567</v>
      </c>
    </row>
    <row r="59" spans="1:14">
      <c r="A59" t="s">
        <v>97</v>
      </c>
      <c r="B59" t="s">
        <v>23</v>
      </c>
      <c r="C59" t="s">
        <v>10</v>
      </c>
      <c r="D59">
        <v>0</v>
      </c>
      <c r="E59" t="s">
        <v>7</v>
      </c>
      <c r="F59" t="s">
        <v>9</v>
      </c>
      <c r="G59">
        <v>3366</v>
      </c>
      <c r="H59">
        <v>2200</v>
      </c>
      <c r="I59">
        <v>135</v>
      </c>
      <c r="J59">
        <v>360</v>
      </c>
      <c r="K59">
        <v>1</v>
      </c>
      <c r="L59" t="s">
        <v>3</v>
      </c>
      <c r="M59" t="s">
        <v>41</v>
      </c>
      <c r="N59" s="6">
        <f t="shared" ca="1" si="0"/>
        <v>43740</v>
      </c>
    </row>
    <row r="60" spans="1:14">
      <c r="A60" t="s">
        <v>98</v>
      </c>
      <c r="B60" t="s">
        <v>23</v>
      </c>
      <c r="C60" t="s">
        <v>10</v>
      </c>
      <c r="D60">
        <v>1</v>
      </c>
      <c r="E60" t="s">
        <v>7</v>
      </c>
      <c r="F60" t="s">
        <v>9</v>
      </c>
      <c r="G60">
        <v>8080</v>
      </c>
      <c r="H60">
        <v>2250</v>
      </c>
      <c r="I60">
        <v>180</v>
      </c>
      <c r="J60">
        <v>360</v>
      </c>
      <c r="K60">
        <v>1</v>
      </c>
      <c r="L60" t="s">
        <v>5</v>
      </c>
      <c r="M60" t="s">
        <v>39</v>
      </c>
      <c r="N60" s="6">
        <f t="shared" ca="1" si="0"/>
        <v>43493</v>
      </c>
    </row>
    <row r="61" spans="1:14">
      <c r="A61" t="s">
        <v>99</v>
      </c>
      <c r="B61" t="s">
        <v>23</v>
      </c>
      <c r="C61" t="s">
        <v>10</v>
      </c>
      <c r="D61">
        <v>2</v>
      </c>
      <c r="E61" t="s">
        <v>11</v>
      </c>
      <c r="F61" t="s">
        <v>9</v>
      </c>
      <c r="G61">
        <v>3357</v>
      </c>
      <c r="H61">
        <v>2859</v>
      </c>
      <c r="I61">
        <v>144</v>
      </c>
      <c r="J61">
        <v>360</v>
      </c>
      <c r="K61">
        <v>1</v>
      </c>
      <c r="L61" t="s">
        <v>5</v>
      </c>
      <c r="M61" t="s">
        <v>39</v>
      </c>
      <c r="N61" s="6">
        <f t="shared" ca="1" si="0"/>
        <v>43771</v>
      </c>
    </row>
    <row r="62" spans="1:14">
      <c r="A62" t="s">
        <v>100</v>
      </c>
      <c r="B62" t="s">
        <v>23</v>
      </c>
      <c r="C62" t="s">
        <v>10</v>
      </c>
      <c r="D62">
        <v>0</v>
      </c>
      <c r="E62" t="s">
        <v>7</v>
      </c>
      <c r="F62" t="s">
        <v>9</v>
      </c>
      <c r="G62">
        <v>2500</v>
      </c>
      <c r="H62">
        <v>3796</v>
      </c>
      <c r="I62">
        <v>120</v>
      </c>
      <c r="J62">
        <v>360</v>
      </c>
      <c r="K62">
        <v>1</v>
      </c>
      <c r="L62" t="s">
        <v>5</v>
      </c>
      <c r="M62" t="s">
        <v>39</v>
      </c>
      <c r="N62" s="6">
        <f t="shared" ca="1" si="0"/>
        <v>43712</v>
      </c>
    </row>
    <row r="63" spans="1:14">
      <c r="A63" t="s">
        <v>101</v>
      </c>
      <c r="B63" t="s">
        <v>23</v>
      </c>
      <c r="C63" t="s">
        <v>10</v>
      </c>
      <c r="D63">
        <v>3</v>
      </c>
      <c r="E63" t="s">
        <v>7</v>
      </c>
      <c r="F63" t="s">
        <v>9</v>
      </c>
      <c r="G63">
        <v>3029</v>
      </c>
      <c r="H63">
        <v>0</v>
      </c>
      <c r="I63">
        <v>99</v>
      </c>
      <c r="J63">
        <v>360</v>
      </c>
      <c r="K63">
        <v>1</v>
      </c>
      <c r="L63" t="s">
        <v>5</v>
      </c>
      <c r="M63" t="s">
        <v>39</v>
      </c>
      <c r="N63" s="6">
        <f t="shared" ca="1" si="0"/>
        <v>43637</v>
      </c>
    </row>
    <row r="64" spans="1:14">
      <c r="A64" t="s">
        <v>102</v>
      </c>
      <c r="B64" t="s">
        <v>23</v>
      </c>
      <c r="C64" t="s">
        <v>10</v>
      </c>
      <c r="D64">
        <v>0</v>
      </c>
      <c r="E64" t="s">
        <v>11</v>
      </c>
      <c r="F64" t="s">
        <v>10</v>
      </c>
      <c r="G64">
        <v>2609</v>
      </c>
      <c r="H64">
        <v>3449</v>
      </c>
      <c r="I64">
        <v>165</v>
      </c>
      <c r="J64">
        <v>180</v>
      </c>
      <c r="K64">
        <v>0</v>
      </c>
      <c r="L64" t="s">
        <v>3</v>
      </c>
      <c r="M64" t="s">
        <v>41</v>
      </c>
      <c r="N64" s="6">
        <f t="shared" ca="1" si="0"/>
        <v>43727</v>
      </c>
    </row>
    <row r="65" spans="1:14">
      <c r="A65" t="s">
        <v>103</v>
      </c>
      <c r="B65" t="s">
        <v>23</v>
      </c>
      <c r="C65" t="s">
        <v>10</v>
      </c>
      <c r="D65">
        <v>1</v>
      </c>
      <c r="E65" t="s">
        <v>7</v>
      </c>
      <c r="F65" t="s">
        <v>9</v>
      </c>
      <c r="G65">
        <v>4945</v>
      </c>
      <c r="H65">
        <v>0</v>
      </c>
      <c r="J65">
        <v>360</v>
      </c>
      <c r="K65">
        <v>0</v>
      </c>
      <c r="L65" t="s">
        <v>3</v>
      </c>
      <c r="M65" t="s">
        <v>41</v>
      </c>
      <c r="N65" s="6">
        <f t="shared" ca="1" si="0"/>
        <v>43752</v>
      </c>
    </row>
    <row r="66" spans="1:14">
      <c r="A66" t="s">
        <v>104</v>
      </c>
      <c r="B66" t="s">
        <v>8</v>
      </c>
      <c r="C66" t="s">
        <v>9</v>
      </c>
      <c r="D66">
        <v>0</v>
      </c>
      <c r="E66" t="s">
        <v>7</v>
      </c>
      <c r="F66" t="s">
        <v>9</v>
      </c>
      <c r="G66">
        <v>4166</v>
      </c>
      <c r="H66">
        <v>0</v>
      </c>
      <c r="I66">
        <v>116</v>
      </c>
      <c r="J66">
        <v>360</v>
      </c>
      <c r="K66">
        <v>0</v>
      </c>
      <c r="L66" t="s">
        <v>4</v>
      </c>
      <c r="M66" t="s">
        <v>41</v>
      </c>
      <c r="N66" s="6">
        <f t="shared" ref="N66:N129" ca="1" si="1">RANDBETWEEN(DATE(2019,1,1),DATE(2019,12,31))</f>
        <v>43798</v>
      </c>
    </row>
    <row r="67" spans="1:14">
      <c r="A67" t="s">
        <v>105</v>
      </c>
      <c r="B67" t="s">
        <v>23</v>
      </c>
      <c r="C67" t="s">
        <v>10</v>
      </c>
      <c r="D67">
        <v>0</v>
      </c>
      <c r="E67" t="s">
        <v>7</v>
      </c>
      <c r="F67" t="s">
        <v>9</v>
      </c>
      <c r="G67">
        <v>5726</v>
      </c>
      <c r="H67">
        <v>4595</v>
      </c>
      <c r="I67">
        <v>258</v>
      </c>
      <c r="J67">
        <v>360</v>
      </c>
      <c r="K67">
        <v>1</v>
      </c>
      <c r="L67" t="s">
        <v>4</v>
      </c>
      <c r="M67" t="s">
        <v>41</v>
      </c>
      <c r="N67" s="6">
        <f t="shared" ca="1" si="1"/>
        <v>43707</v>
      </c>
    </row>
    <row r="68" spans="1:14">
      <c r="A68" t="s">
        <v>106</v>
      </c>
      <c r="B68" t="s">
        <v>23</v>
      </c>
      <c r="C68" t="s">
        <v>9</v>
      </c>
      <c r="D68">
        <v>0</v>
      </c>
      <c r="E68" t="s">
        <v>11</v>
      </c>
      <c r="F68" t="s">
        <v>9</v>
      </c>
      <c r="G68">
        <v>3200</v>
      </c>
      <c r="H68">
        <v>2254</v>
      </c>
      <c r="I68">
        <v>126</v>
      </c>
      <c r="J68">
        <v>180</v>
      </c>
      <c r="K68">
        <v>0</v>
      </c>
      <c r="L68" t="s">
        <v>5</v>
      </c>
      <c r="M68" t="s">
        <v>41</v>
      </c>
      <c r="N68" s="6">
        <f t="shared" ca="1" si="1"/>
        <v>43591</v>
      </c>
    </row>
    <row r="69" spans="1:14">
      <c r="A69" t="s">
        <v>107</v>
      </c>
      <c r="B69" t="s">
        <v>23</v>
      </c>
      <c r="C69" t="s">
        <v>10</v>
      </c>
      <c r="D69">
        <v>1</v>
      </c>
      <c r="E69" t="s">
        <v>7</v>
      </c>
      <c r="F69" t="s">
        <v>9</v>
      </c>
      <c r="G69">
        <v>10750</v>
      </c>
      <c r="H69">
        <v>0</v>
      </c>
      <c r="I69">
        <v>31200</v>
      </c>
      <c r="J69">
        <v>360</v>
      </c>
      <c r="K69">
        <v>1</v>
      </c>
      <c r="L69" t="s">
        <v>5</v>
      </c>
      <c r="M69" t="s">
        <v>39</v>
      </c>
      <c r="N69" s="6">
        <f t="shared" ca="1" si="1"/>
        <v>43762</v>
      </c>
    </row>
    <row r="70" spans="1:14">
      <c r="A70" t="s">
        <v>108</v>
      </c>
      <c r="B70" t="s">
        <v>23</v>
      </c>
      <c r="C70" t="s">
        <v>10</v>
      </c>
      <c r="D70">
        <v>3</v>
      </c>
      <c r="E70" t="s">
        <v>11</v>
      </c>
      <c r="F70" t="s">
        <v>10</v>
      </c>
      <c r="G70">
        <v>7100</v>
      </c>
      <c r="H70">
        <v>0</v>
      </c>
      <c r="I70">
        <v>125</v>
      </c>
      <c r="J70">
        <v>60</v>
      </c>
      <c r="K70">
        <v>1</v>
      </c>
      <c r="L70" t="s">
        <v>5</v>
      </c>
      <c r="M70" t="s">
        <v>39</v>
      </c>
      <c r="N70" s="6">
        <f t="shared" ca="1" si="1"/>
        <v>43741</v>
      </c>
    </row>
    <row r="71" spans="1:14">
      <c r="A71" t="s">
        <v>109</v>
      </c>
      <c r="B71" t="s">
        <v>8</v>
      </c>
      <c r="C71" t="s">
        <v>9</v>
      </c>
      <c r="D71">
        <v>0</v>
      </c>
      <c r="E71" t="s">
        <v>7</v>
      </c>
      <c r="F71" t="s">
        <v>9</v>
      </c>
      <c r="G71">
        <v>4300</v>
      </c>
      <c r="H71">
        <v>0</v>
      </c>
      <c r="I71">
        <v>136</v>
      </c>
      <c r="J71">
        <v>360</v>
      </c>
      <c r="K71">
        <v>0</v>
      </c>
      <c r="L71" t="s">
        <v>4</v>
      </c>
      <c r="M71" t="s">
        <v>41</v>
      </c>
      <c r="N71" s="6">
        <f t="shared" ca="1" si="1"/>
        <v>43639</v>
      </c>
    </row>
    <row r="72" spans="1:14">
      <c r="A72" t="s">
        <v>110</v>
      </c>
      <c r="B72" t="s">
        <v>23</v>
      </c>
      <c r="C72" t="s">
        <v>10</v>
      </c>
      <c r="D72">
        <v>0</v>
      </c>
      <c r="E72" t="s">
        <v>7</v>
      </c>
      <c r="F72" t="s">
        <v>9</v>
      </c>
      <c r="G72">
        <v>3208</v>
      </c>
      <c r="H72">
        <v>3066</v>
      </c>
      <c r="I72">
        <v>172</v>
      </c>
      <c r="J72">
        <v>360</v>
      </c>
      <c r="K72">
        <v>1</v>
      </c>
      <c r="L72" t="s">
        <v>5</v>
      </c>
      <c r="M72" t="s">
        <v>39</v>
      </c>
      <c r="N72" s="6">
        <f t="shared" ca="1" si="1"/>
        <v>43596</v>
      </c>
    </row>
    <row r="73" spans="1:14">
      <c r="A73" t="s">
        <v>111</v>
      </c>
      <c r="B73" t="s">
        <v>23</v>
      </c>
      <c r="C73" t="s">
        <v>10</v>
      </c>
      <c r="D73">
        <v>2</v>
      </c>
      <c r="E73" t="s">
        <v>11</v>
      </c>
      <c r="F73" t="s">
        <v>10</v>
      </c>
      <c r="G73">
        <v>1875</v>
      </c>
      <c r="H73">
        <v>1875</v>
      </c>
      <c r="I73">
        <v>97</v>
      </c>
      <c r="J73">
        <v>360</v>
      </c>
      <c r="K73">
        <v>1</v>
      </c>
      <c r="L73" t="s">
        <v>4</v>
      </c>
      <c r="M73" t="s">
        <v>39</v>
      </c>
      <c r="N73" s="6">
        <f t="shared" ca="1" si="1"/>
        <v>43726</v>
      </c>
    </row>
    <row r="74" spans="1:14">
      <c r="A74" t="s">
        <v>112</v>
      </c>
      <c r="B74" t="s">
        <v>23</v>
      </c>
      <c r="C74" t="s">
        <v>9</v>
      </c>
      <c r="D74">
        <v>0</v>
      </c>
      <c r="E74" t="s">
        <v>7</v>
      </c>
      <c r="F74" t="s">
        <v>9</v>
      </c>
      <c r="G74">
        <v>3500</v>
      </c>
      <c r="H74">
        <v>0</v>
      </c>
      <c r="I74">
        <v>81</v>
      </c>
      <c r="J74">
        <v>300</v>
      </c>
      <c r="K74">
        <v>1</v>
      </c>
      <c r="L74" t="s">
        <v>4</v>
      </c>
      <c r="M74" t="s">
        <v>39</v>
      </c>
      <c r="N74" s="6">
        <f t="shared" ca="1" si="1"/>
        <v>43734</v>
      </c>
    </row>
    <row r="75" spans="1:14">
      <c r="A75" t="s">
        <v>113</v>
      </c>
      <c r="B75" t="s">
        <v>23</v>
      </c>
      <c r="C75" t="s">
        <v>10</v>
      </c>
      <c r="D75">
        <v>3</v>
      </c>
      <c r="E75" t="s">
        <v>11</v>
      </c>
      <c r="F75" t="s">
        <v>9</v>
      </c>
      <c r="G75">
        <v>4755</v>
      </c>
      <c r="H75">
        <v>0</v>
      </c>
      <c r="I75">
        <v>95</v>
      </c>
      <c r="K75">
        <v>0</v>
      </c>
      <c r="L75" t="s">
        <v>4</v>
      </c>
      <c r="M75" t="s">
        <v>41</v>
      </c>
      <c r="N75" s="6">
        <f t="shared" ca="1" si="1"/>
        <v>43672</v>
      </c>
    </row>
    <row r="76" spans="1:14">
      <c r="A76" t="s">
        <v>114</v>
      </c>
      <c r="B76" t="s">
        <v>23</v>
      </c>
      <c r="C76" t="s">
        <v>10</v>
      </c>
      <c r="D76">
        <v>3</v>
      </c>
      <c r="E76" t="s">
        <v>7</v>
      </c>
      <c r="F76" t="s">
        <v>10</v>
      </c>
      <c r="G76">
        <v>5266</v>
      </c>
      <c r="H76">
        <v>1774</v>
      </c>
      <c r="I76">
        <v>187</v>
      </c>
      <c r="J76">
        <v>360</v>
      </c>
      <c r="K76">
        <v>1</v>
      </c>
      <c r="L76" t="s">
        <v>4</v>
      </c>
      <c r="M76" t="s">
        <v>39</v>
      </c>
      <c r="N76" s="6">
        <f t="shared" ca="1" si="1"/>
        <v>43809</v>
      </c>
    </row>
    <row r="77" spans="1:14">
      <c r="A77" t="s">
        <v>115</v>
      </c>
      <c r="B77" t="s">
        <v>23</v>
      </c>
      <c r="C77" t="s">
        <v>9</v>
      </c>
      <c r="D77">
        <v>0</v>
      </c>
      <c r="E77" t="s">
        <v>7</v>
      </c>
      <c r="F77" t="s">
        <v>9</v>
      </c>
      <c r="G77">
        <v>3750</v>
      </c>
      <c r="H77">
        <v>0</v>
      </c>
      <c r="I77">
        <v>113</v>
      </c>
      <c r="J77">
        <v>480</v>
      </c>
      <c r="K77">
        <v>1</v>
      </c>
      <c r="L77" t="s">
        <v>5</v>
      </c>
      <c r="M77" t="s">
        <v>41</v>
      </c>
      <c r="N77" s="6">
        <f t="shared" ca="1" si="1"/>
        <v>43494</v>
      </c>
    </row>
    <row r="78" spans="1:14">
      <c r="A78" t="s">
        <v>116</v>
      </c>
      <c r="B78" t="s">
        <v>23</v>
      </c>
      <c r="C78" t="s">
        <v>9</v>
      </c>
      <c r="D78">
        <v>0</v>
      </c>
      <c r="E78" t="s">
        <v>7</v>
      </c>
      <c r="F78" t="s">
        <v>9</v>
      </c>
      <c r="G78">
        <v>3750</v>
      </c>
      <c r="H78">
        <v>4750</v>
      </c>
      <c r="I78">
        <v>176</v>
      </c>
      <c r="J78">
        <v>360</v>
      </c>
      <c r="K78">
        <v>1</v>
      </c>
      <c r="L78" t="s">
        <v>5</v>
      </c>
      <c r="M78" t="s">
        <v>41</v>
      </c>
      <c r="N78" s="6">
        <f t="shared" ca="1" si="1"/>
        <v>43820</v>
      </c>
    </row>
    <row r="79" spans="1:14">
      <c r="A79" t="s">
        <v>117</v>
      </c>
      <c r="B79" t="s">
        <v>23</v>
      </c>
      <c r="C79" t="s">
        <v>10</v>
      </c>
      <c r="D79">
        <v>1</v>
      </c>
      <c r="E79" t="s">
        <v>7</v>
      </c>
      <c r="F79" t="s">
        <v>10</v>
      </c>
      <c r="G79">
        <v>1000</v>
      </c>
      <c r="H79">
        <v>3022</v>
      </c>
      <c r="I79">
        <v>110000</v>
      </c>
      <c r="J79">
        <v>360</v>
      </c>
      <c r="K79">
        <v>1</v>
      </c>
      <c r="L79" t="s">
        <v>5</v>
      </c>
      <c r="M79" t="s">
        <v>41</v>
      </c>
      <c r="N79" s="6">
        <f t="shared" ca="1" si="1"/>
        <v>43572</v>
      </c>
    </row>
    <row r="80" spans="1:14">
      <c r="A80" t="s">
        <v>118</v>
      </c>
      <c r="B80" t="s">
        <v>23</v>
      </c>
      <c r="C80" t="s">
        <v>10</v>
      </c>
      <c r="D80">
        <v>3</v>
      </c>
      <c r="E80" t="s">
        <v>7</v>
      </c>
      <c r="F80" t="s">
        <v>9</v>
      </c>
      <c r="G80">
        <v>3167</v>
      </c>
      <c r="H80">
        <v>4000</v>
      </c>
      <c r="I80">
        <v>180</v>
      </c>
      <c r="J80">
        <v>300</v>
      </c>
      <c r="K80">
        <v>0</v>
      </c>
      <c r="L80" t="s">
        <v>4</v>
      </c>
      <c r="M80" t="s">
        <v>41</v>
      </c>
      <c r="N80" s="6">
        <f t="shared" ca="1" si="1"/>
        <v>43651</v>
      </c>
    </row>
    <row r="81" spans="1:14">
      <c r="A81" t="s">
        <v>119</v>
      </c>
      <c r="B81" t="s">
        <v>23</v>
      </c>
      <c r="C81" t="s">
        <v>10</v>
      </c>
      <c r="D81">
        <v>3</v>
      </c>
      <c r="E81" t="s">
        <v>11</v>
      </c>
      <c r="F81" t="s">
        <v>10</v>
      </c>
      <c r="G81">
        <v>3333</v>
      </c>
      <c r="H81">
        <v>2166</v>
      </c>
      <c r="I81">
        <v>130</v>
      </c>
      <c r="J81">
        <v>360</v>
      </c>
      <c r="L81" t="s">
        <v>4</v>
      </c>
      <c r="M81" t="s">
        <v>39</v>
      </c>
      <c r="N81" s="6">
        <f t="shared" ca="1" si="1"/>
        <v>43561</v>
      </c>
    </row>
    <row r="82" spans="1:14">
      <c r="A82" t="s">
        <v>120</v>
      </c>
      <c r="B82" t="s">
        <v>8</v>
      </c>
      <c r="C82" t="s">
        <v>9</v>
      </c>
      <c r="D82">
        <v>0</v>
      </c>
      <c r="E82" t="s">
        <v>7</v>
      </c>
      <c r="F82" t="s">
        <v>9</v>
      </c>
      <c r="G82">
        <v>3846</v>
      </c>
      <c r="H82">
        <v>0</v>
      </c>
      <c r="I82">
        <v>111</v>
      </c>
      <c r="J82">
        <v>360</v>
      </c>
      <c r="K82">
        <v>1</v>
      </c>
      <c r="L82" t="s">
        <v>4</v>
      </c>
      <c r="M82" t="s">
        <v>39</v>
      </c>
      <c r="N82" s="6">
        <f t="shared" ca="1" si="1"/>
        <v>43782</v>
      </c>
    </row>
    <row r="83" spans="1:14">
      <c r="A83" t="s">
        <v>121</v>
      </c>
      <c r="B83" t="s">
        <v>23</v>
      </c>
      <c r="C83" t="s">
        <v>10</v>
      </c>
      <c r="D83">
        <v>1</v>
      </c>
      <c r="E83" t="s">
        <v>7</v>
      </c>
      <c r="F83" t="s">
        <v>10</v>
      </c>
      <c r="G83">
        <v>2395</v>
      </c>
      <c r="H83">
        <v>0</v>
      </c>
      <c r="J83">
        <v>360</v>
      </c>
      <c r="K83">
        <v>1</v>
      </c>
      <c r="L83" t="s">
        <v>4</v>
      </c>
      <c r="M83" t="s">
        <v>39</v>
      </c>
      <c r="N83" s="6">
        <f t="shared" ca="1" si="1"/>
        <v>43548</v>
      </c>
    </row>
    <row r="84" spans="1:14">
      <c r="A84" t="s">
        <v>122</v>
      </c>
      <c r="B84" t="s">
        <v>8</v>
      </c>
      <c r="C84" t="s">
        <v>10</v>
      </c>
      <c r="D84">
        <v>2</v>
      </c>
      <c r="E84" t="s">
        <v>7</v>
      </c>
      <c r="F84" t="s">
        <v>9</v>
      </c>
      <c r="G84">
        <v>1378</v>
      </c>
      <c r="H84">
        <v>1881</v>
      </c>
      <c r="I84">
        <v>167</v>
      </c>
      <c r="J84">
        <v>360</v>
      </c>
      <c r="K84">
        <v>1</v>
      </c>
      <c r="L84" t="s">
        <v>5</v>
      </c>
      <c r="M84" t="s">
        <v>41</v>
      </c>
      <c r="N84" s="6">
        <f t="shared" ca="1" si="1"/>
        <v>43731</v>
      </c>
    </row>
    <row r="85" spans="1:14">
      <c r="A85" t="s">
        <v>123</v>
      </c>
      <c r="B85" t="s">
        <v>23</v>
      </c>
      <c r="C85" t="s">
        <v>10</v>
      </c>
      <c r="D85">
        <v>0</v>
      </c>
      <c r="E85" t="s">
        <v>7</v>
      </c>
      <c r="F85" t="s">
        <v>9</v>
      </c>
      <c r="G85">
        <v>6000</v>
      </c>
      <c r="H85">
        <v>2250</v>
      </c>
      <c r="I85">
        <v>265</v>
      </c>
      <c r="J85">
        <v>360</v>
      </c>
      <c r="L85" t="s">
        <v>4</v>
      </c>
      <c r="M85" t="s">
        <v>41</v>
      </c>
      <c r="N85" s="6">
        <f t="shared" ca="1" si="1"/>
        <v>43669</v>
      </c>
    </row>
    <row r="86" spans="1:14">
      <c r="A86" t="s">
        <v>124</v>
      </c>
      <c r="B86" t="s">
        <v>23</v>
      </c>
      <c r="C86" t="s">
        <v>10</v>
      </c>
      <c r="D86">
        <v>1</v>
      </c>
      <c r="E86" t="s">
        <v>7</v>
      </c>
      <c r="F86" t="s">
        <v>9</v>
      </c>
      <c r="G86">
        <v>3988</v>
      </c>
      <c r="H86">
        <v>0</v>
      </c>
      <c r="I86">
        <v>50</v>
      </c>
      <c r="J86">
        <v>240</v>
      </c>
      <c r="K86">
        <v>1</v>
      </c>
      <c r="L86" t="s">
        <v>5</v>
      </c>
      <c r="M86" t="s">
        <v>39</v>
      </c>
      <c r="N86" s="6">
        <f t="shared" ca="1" si="1"/>
        <v>43650</v>
      </c>
    </row>
    <row r="87" spans="1:14">
      <c r="A87" t="s">
        <v>125</v>
      </c>
      <c r="B87" t="s">
        <v>23</v>
      </c>
      <c r="C87" t="s">
        <v>9</v>
      </c>
      <c r="D87">
        <v>0</v>
      </c>
      <c r="E87" t="s">
        <v>7</v>
      </c>
      <c r="F87" t="s">
        <v>9</v>
      </c>
      <c r="G87">
        <v>2366</v>
      </c>
      <c r="H87">
        <v>2531</v>
      </c>
      <c r="I87">
        <v>136</v>
      </c>
      <c r="J87">
        <v>360</v>
      </c>
      <c r="K87">
        <v>1</v>
      </c>
      <c r="L87" t="s">
        <v>4</v>
      </c>
      <c r="M87" t="s">
        <v>39</v>
      </c>
      <c r="N87" s="6">
        <f t="shared" ca="1" si="1"/>
        <v>43700</v>
      </c>
    </row>
    <row r="88" spans="1:14">
      <c r="A88" t="s">
        <v>126</v>
      </c>
      <c r="B88" t="s">
        <v>23</v>
      </c>
      <c r="C88" t="s">
        <v>10</v>
      </c>
      <c r="D88">
        <v>2</v>
      </c>
      <c r="E88" t="s">
        <v>11</v>
      </c>
      <c r="F88" t="s">
        <v>9</v>
      </c>
      <c r="G88">
        <v>3333</v>
      </c>
      <c r="H88">
        <v>2000</v>
      </c>
      <c r="I88">
        <v>99</v>
      </c>
      <c r="J88">
        <v>360</v>
      </c>
      <c r="L88" t="s">
        <v>4</v>
      </c>
      <c r="M88" t="s">
        <v>39</v>
      </c>
      <c r="N88" s="6">
        <f t="shared" ca="1" si="1"/>
        <v>43655</v>
      </c>
    </row>
    <row r="89" spans="1:14">
      <c r="A89" t="s">
        <v>127</v>
      </c>
      <c r="B89" t="s">
        <v>23</v>
      </c>
      <c r="C89" t="s">
        <v>10</v>
      </c>
      <c r="D89">
        <v>0</v>
      </c>
      <c r="E89" t="s">
        <v>7</v>
      </c>
      <c r="F89" t="s">
        <v>9</v>
      </c>
      <c r="G89">
        <v>2500</v>
      </c>
      <c r="H89">
        <v>2118</v>
      </c>
      <c r="I89">
        <v>10400</v>
      </c>
      <c r="J89">
        <v>360</v>
      </c>
      <c r="K89">
        <v>1</v>
      </c>
      <c r="L89" t="s">
        <v>4</v>
      </c>
      <c r="M89" t="s">
        <v>39</v>
      </c>
      <c r="N89" s="6">
        <f t="shared" ca="1" si="1"/>
        <v>43732</v>
      </c>
    </row>
    <row r="90" spans="1:14">
      <c r="A90" t="s">
        <v>128</v>
      </c>
      <c r="B90" t="s">
        <v>23</v>
      </c>
      <c r="C90" t="s">
        <v>9</v>
      </c>
      <c r="D90">
        <v>0</v>
      </c>
      <c r="E90" t="s">
        <v>7</v>
      </c>
      <c r="F90" t="s">
        <v>9</v>
      </c>
      <c r="G90">
        <v>8566</v>
      </c>
      <c r="H90">
        <v>0</v>
      </c>
      <c r="I90">
        <v>210</v>
      </c>
      <c r="J90">
        <v>360</v>
      </c>
      <c r="K90">
        <v>1</v>
      </c>
      <c r="L90" t="s">
        <v>5</v>
      </c>
      <c r="M90" t="s">
        <v>39</v>
      </c>
      <c r="N90" s="6">
        <f t="shared" ca="1" si="1"/>
        <v>43818</v>
      </c>
    </row>
    <row r="91" spans="1:14">
      <c r="A91" t="s">
        <v>129</v>
      </c>
      <c r="B91" t="s">
        <v>23</v>
      </c>
      <c r="C91" t="s">
        <v>10</v>
      </c>
      <c r="D91">
        <v>0</v>
      </c>
      <c r="E91" t="s">
        <v>7</v>
      </c>
      <c r="F91" t="s">
        <v>9</v>
      </c>
      <c r="G91">
        <v>5695</v>
      </c>
      <c r="H91">
        <v>4167</v>
      </c>
      <c r="I91">
        <v>175</v>
      </c>
      <c r="J91">
        <v>360</v>
      </c>
      <c r="K91">
        <v>1</v>
      </c>
      <c r="L91" t="s">
        <v>4</v>
      </c>
      <c r="M91" t="s">
        <v>39</v>
      </c>
      <c r="N91" s="6">
        <f t="shared" ca="1" si="1"/>
        <v>43821</v>
      </c>
    </row>
    <row r="92" spans="1:14">
      <c r="A92" t="s">
        <v>130</v>
      </c>
      <c r="B92" t="s">
        <v>23</v>
      </c>
      <c r="C92" t="s">
        <v>10</v>
      </c>
      <c r="D92">
        <v>0</v>
      </c>
      <c r="E92" t="s">
        <v>7</v>
      </c>
      <c r="F92" t="s">
        <v>9</v>
      </c>
      <c r="G92">
        <v>2958</v>
      </c>
      <c r="H92">
        <v>2900</v>
      </c>
      <c r="I92">
        <v>131</v>
      </c>
      <c r="J92">
        <v>360</v>
      </c>
      <c r="K92">
        <v>1</v>
      </c>
      <c r="L92" t="s">
        <v>4</v>
      </c>
      <c r="M92" t="s">
        <v>39</v>
      </c>
      <c r="N92" s="6">
        <f t="shared" ca="1" si="1"/>
        <v>43803</v>
      </c>
    </row>
    <row r="93" spans="1:14">
      <c r="A93" t="s">
        <v>131</v>
      </c>
      <c r="B93" t="s">
        <v>23</v>
      </c>
      <c r="C93" t="s">
        <v>10</v>
      </c>
      <c r="D93">
        <v>2</v>
      </c>
      <c r="E93" t="s">
        <v>7</v>
      </c>
      <c r="F93" t="s">
        <v>9</v>
      </c>
      <c r="G93">
        <v>6250</v>
      </c>
      <c r="H93">
        <v>5654</v>
      </c>
      <c r="I93">
        <v>188</v>
      </c>
      <c r="J93">
        <v>180</v>
      </c>
      <c r="K93">
        <v>1</v>
      </c>
      <c r="L93" t="s">
        <v>4</v>
      </c>
      <c r="M93" t="s">
        <v>39</v>
      </c>
      <c r="N93" s="6">
        <f t="shared" ca="1" si="1"/>
        <v>43618</v>
      </c>
    </row>
    <row r="94" spans="1:14">
      <c r="A94" t="s">
        <v>132</v>
      </c>
      <c r="B94" t="s">
        <v>23</v>
      </c>
      <c r="C94" t="s">
        <v>10</v>
      </c>
      <c r="D94">
        <v>2</v>
      </c>
      <c r="E94" t="s">
        <v>11</v>
      </c>
      <c r="F94" t="s">
        <v>9</v>
      </c>
      <c r="G94">
        <v>3273</v>
      </c>
      <c r="H94">
        <v>1820</v>
      </c>
      <c r="I94">
        <v>81</v>
      </c>
      <c r="J94">
        <v>360</v>
      </c>
      <c r="K94">
        <v>1</v>
      </c>
      <c r="L94" t="s">
        <v>5</v>
      </c>
      <c r="M94" t="s">
        <v>39</v>
      </c>
      <c r="N94" s="6">
        <f t="shared" ca="1" si="1"/>
        <v>43785</v>
      </c>
    </row>
    <row r="95" spans="1:14">
      <c r="A95" t="s">
        <v>133</v>
      </c>
      <c r="B95" t="s">
        <v>23</v>
      </c>
      <c r="C95" t="s">
        <v>9</v>
      </c>
      <c r="D95">
        <v>0</v>
      </c>
      <c r="E95" t="s">
        <v>7</v>
      </c>
      <c r="F95" t="s">
        <v>9</v>
      </c>
      <c r="G95">
        <v>4133</v>
      </c>
      <c r="H95">
        <v>0</v>
      </c>
      <c r="I95">
        <v>12200</v>
      </c>
      <c r="J95">
        <v>360</v>
      </c>
      <c r="K95">
        <v>1</v>
      </c>
      <c r="L95" t="s">
        <v>4</v>
      </c>
      <c r="M95" t="s">
        <v>39</v>
      </c>
      <c r="N95" s="6">
        <f t="shared" ca="1" si="1"/>
        <v>43510</v>
      </c>
    </row>
    <row r="96" spans="1:14">
      <c r="A96" t="s">
        <v>134</v>
      </c>
      <c r="B96" t="s">
        <v>23</v>
      </c>
      <c r="C96" t="s">
        <v>9</v>
      </c>
      <c r="D96">
        <v>0</v>
      </c>
      <c r="E96" t="s">
        <v>11</v>
      </c>
      <c r="F96" t="s">
        <v>9</v>
      </c>
      <c r="G96">
        <v>3620</v>
      </c>
      <c r="H96">
        <v>0</v>
      </c>
      <c r="I96">
        <v>25</v>
      </c>
      <c r="J96">
        <v>120</v>
      </c>
      <c r="K96">
        <v>1</v>
      </c>
      <c r="L96" t="s">
        <v>4</v>
      </c>
      <c r="M96" t="s">
        <v>39</v>
      </c>
      <c r="N96" s="6">
        <f t="shared" ca="1" si="1"/>
        <v>43777</v>
      </c>
    </row>
    <row r="97" spans="1:14">
      <c r="A97" t="s">
        <v>135</v>
      </c>
      <c r="B97" t="s">
        <v>23</v>
      </c>
      <c r="C97" t="s">
        <v>9</v>
      </c>
      <c r="D97">
        <v>0</v>
      </c>
      <c r="E97" t="s">
        <v>7</v>
      </c>
      <c r="F97" t="s">
        <v>20</v>
      </c>
      <c r="G97">
        <v>6782</v>
      </c>
      <c r="H97">
        <v>0</v>
      </c>
      <c r="J97">
        <v>360</v>
      </c>
      <c r="L97" t="s">
        <v>5</v>
      </c>
      <c r="M97" t="s">
        <v>41</v>
      </c>
      <c r="N97" s="6">
        <f t="shared" ca="1" si="1"/>
        <v>43764</v>
      </c>
    </row>
    <row r="98" spans="1:14">
      <c r="A98" t="s">
        <v>136</v>
      </c>
      <c r="B98" t="s">
        <v>8</v>
      </c>
      <c r="C98" t="s">
        <v>10</v>
      </c>
      <c r="D98">
        <v>0</v>
      </c>
      <c r="E98" t="s">
        <v>7</v>
      </c>
      <c r="F98" t="s">
        <v>9</v>
      </c>
      <c r="G98">
        <v>2484</v>
      </c>
      <c r="H98">
        <v>2302</v>
      </c>
      <c r="I98">
        <v>137</v>
      </c>
      <c r="J98">
        <v>360</v>
      </c>
      <c r="K98">
        <v>1</v>
      </c>
      <c r="L98" t="s">
        <v>4</v>
      </c>
      <c r="M98" t="s">
        <v>39</v>
      </c>
      <c r="N98" s="6">
        <f t="shared" ca="1" si="1"/>
        <v>43652</v>
      </c>
    </row>
    <row r="99" spans="1:14">
      <c r="A99" t="s">
        <v>137</v>
      </c>
      <c r="B99" t="s">
        <v>23</v>
      </c>
      <c r="C99" t="s">
        <v>10</v>
      </c>
      <c r="D99">
        <v>0</v>
      </c>
      <c r="E99" t="s">
        <v>7</v>
      </c>
      <c r="F99" t="s">
        <v>9</v>
      </c>
      <c r="G99">
        <v>1977</v>
      </c>
      <c r="H99">
        <v>997</v>
      </c>
      <c r="I99">
        <v>50</v>
      </c>
      <c r="J99">
        <v>360</v>
      </c>
      <c r="K99">
        <v>1</v>
      </c>
      <c r="L99" t="s">
        <v>4</v>
      </c>
      <c r="M99" t="s">
        <v>39</v>
      </c>
      <c r="N99" s="6">
        <f t="shared" ca="1" si="1"/>
        <v>43494</v>
      </c>
    </row>
    <row r="100" spans="1:14">
      <c r="A100" t="s">
        <v>138</v>
      </c>
      <c r="B100" t="s">
        <v>23</v>
      </c>
      <c r="C100" t="s">
        <v>10</v>
      </c>
      <c r="D100">
        <v>0</v>
      </c>
      <c r="E100" t="s">
        <v>11</v>
      </c>
      <c r="F100" t="s">
        <v>9</v>
      </c>
      <c r="G100">
        <v>4188</v>
      </c>
      <c r="H100">
        <v>0</v>
      </c>
      <c r="I100">
        <v>115</v>
      </c>
      <c r="J100">
        <v>180</v>
      </c>
      <c r="K100">
        <v>1</v>
      </c>
      <c r="L100" t="s">
        <v>4</v>
      </c>
      <c r="M100" t="s">
        <v>39</v>
      </c>
      <c r="N100" s="6">
        <f t="shared" ca="1" si="1"/>
        <v>43571</v>
      </c>
    </row>
    <row r="101" spans="1:14">
      <c r="A101" t="s">
        <v>139</v>
      </c>
      <c r="B101" t="s">
        <v>23</v>
      </c>
      <c r="C101" t="s">
        <v>10</v>
      </c>
      <c r="D101">
        <v>0</v>
      </c>
      <c r="E101" t="s">
        <v>7</v>
      </c>
      <c r="F101" t="s">
        <v>9</v>
      </c>
      <c r="G101">
        <v>1759</v>
      </c>
      <c r="H101">
        <v>3541</v>
      </c>
      <c r="I101">
        <v>131</v>
      </c>
      <c r="J101">
        <v>360</v>
      </c>
      <c r="K101">
        <v>1</v>
      </c>
      <c r="L101" t="s">
        <v>4</v>
      </c>
      <c r="M101" t="s">
        <v>39</v>
      </c>
      <c r="N101" s="6">
        <f t="shared" ca="1" si="1"/>
        <v>43650</v>
      </c>
    </row>
    <row r="102" spans="1:14">
      <c r="A102" t="s">
        <v>140</v>
      </c>
      <c r="B102" t="s">
        <v>23</v>
      </c>
      <c r="C102" t="s">
        <v>10</v>
      </c>
      <c r="D102">
        <v>2</v>
      </c>
      <c r="E102" t="s">
        <v>11</v>
      </c>
      <c r="F102" t="s">
        <v>9</v>
      </c>
      <c r="G102">
        <v>4288</v>
      </c>
      <c r="H102">
        <v>3263</v>
      </c>
      <c r="I102">
        <v>1330</v>
      </c>
      <c r="J102">
        <v>180</v>
      </c>
      <c r="K102">
        <v>1</v>
      </c>
      <c r="L102" t="s">
        <v>5</v>
      </c>
      <c r="M102" t="s">
        <v>39</v>
      </c>
      <c r="N102" s="6">
        <f t="shared" ca="1" si="1"/>
        <v>43616</v>
      </c>
    </row>
    <row r="103" spans="1:14">
      <c r="A103" t="s">
        <v>141</v>
      </c>
      <c r="B103" t="s">
        <v>23</v>
      </c>
      <c r="C103" t="s">
        <v>9</v>
      </c>
      <c r="D103">
        <v>0</v>
      </c>
      <c r="E103" t="s">
        <v>7</v>
      </c>
      <c r="F103" t="s">
        <v>9</v>
      </c>
      <c r="G103">
        <v>4843</v>
      </c>
      <c r="H103">
        <v>3806</v>
      </c>
      <c r="I103">
        <v>151</v>
      </c>
      <c r="J103">
        <v>360</v>
      </c>
      <c r="K103">
        <v>1</v>
      </c>
      <c r="L103" t="s">
        <v>4</v>
      </c>
      <c r="M103" t="s">
        <v>39</v>
      </c>
      <c r="N103" s="6">
        <f t="shared" ca="1" si="1"/>
        <v>43527</v>
      </c>
    </row>
    <row r="104" spans="1:14">
      <c r="A104" t="s">
        <v>142</v>
      </c>
      <c r="B104" t="s">
        <v>23</v>
      </c>
      <c r="C104" t="s">
        <v>10</v>
      </c>
      <c r="E104" t="s">
        <v>7</v>
      </c>
      <c r="F104" t="s">
        <v>9</v>
      </c>
      <c r="G104">
        <v>13650</v>
      </c>
      <c r="H104">
        <v>0</v>
      </c>
      <c r="J104">
        <v>360</v>
      </c>
      <c r="K104">
        <v>1</v>
      </c>
      <c r="L104" t="s">
        <v>5</v>
      </c>
      <c r="M104" t="s">
        <v>39</v>
      </c>
      <c r="N104" s="6">
        <f t="shared" ca="1" si="1"/>
        <v>43560</v>
      </c>
    </row>
    <row r="105" spans="1:14">
      <c r="A105" t="s">
        <v>143</v>
      </c>
      <c r="B105" t="s">
        <v>23</v>
      </c>
      <c r="C105" t="s">
        <v>10</v>
      </c>
      <c r="D105">
        <v>0</v>
      </c>
      <c r="E105" t="s">
        <v>7</v>
      </c>
      <c r="F105" t="s">
        <v>9</v>
      </c>
      <c r="G105">
        <v>4652</v>
      </c>
      <c r="H105">
        <v>3583</v>
      </c>
      <c r="J105">
        <v>360</v>
      </c>
      <c r="K105">
        <v>1</v>
      </c>
      <c r="L105" t="s">
        <v>4</v>
      </c>
      <c r="M105" t="s">
        <v>39</v>
      </c>
      <c r="N105" s="6">
        <f t="shared" ca="1" si="1"/>
        <v>43580</v>
      </c>
    </row>
    <row r="106" spans="1:14">
      <c r="A106" t="s">
        <v>144</v>
      </c>
      <c r="B106" t="s">
        <v>23</v>
      </c>
      <c r="C106" t="s">
        <v>20</v>
      </c>
      <c r="E106" t="s">
        <v>7</v>
      </c>
      <c r="F106" t="s">
        <v>9</v>
      </c>
      <c r="G106">
        <v>3816</v>
      </c>
      <c r="H106">
        <v>754</v>
      </c>
      <c r="I106">
        <v>160</v>
      </c>
      <c r="J106">
        <v>360</v>
      </c>
      <c r="K106">
        <v>1</v>
      </c>
      <c r="L106" t="s">
        <v>5</v>
      </c>
      <c r="M106" t="s">
        <v>39</v>
      </c>
      <c r="N106" s="6">
        <f t="shared" ca="1" si="1"/>
        <v>43646</v>
      </c>
    </row>
    <row r="107" spans="1:14">
      <c r="A107" t="s">
        <v>145</v>
      </c>
      <c r="B107" t="s">
        <v>23</v>
      </c>
      <c r="C107" t="s">
        <v>10</v>
      </c>
      <c r="D107">
        <v>1</v>
      </c>
      <c r="E107" t="s">
        <v>7</v>
      </c>
      <c r="F107" t="s">
        <v>9</v>
      </c>
      <c r="G107">
        <v>3052</v>
      </c>
      <c r="H107">
        <v>1030</v>
      </c>
      <c r="I107">
        <v>100</v>
      </c>
      <c r="J107">
        <v>360</v>
      </c>
      <c r="K107">
        <v>1</v>
      </c>
      <c r="L107" t="s">
        <v>5</v>
      </c>
      <c r="M107" t="s">
        <v>39</v>
      </c>
      <c r="N107" s="6">
        <f t="shared" ca="1" si="1"/>
        <v>43542</v>
      </c>
    </row>
    <row r="108" spans="1:14">
      <c r="A108" t="s">
        <v>146</v>
      </c>
      <c r="B108" t="s">
        <v>23</v>
      </c>
      <c r="C108" t="s">
        <v>10</v>
      </c>
      <c r="D108">
        <v>2</v>
      </c>
      <c r="E108" t="s">
        <v>7</v>
      </c>
      <c r="F108" t="s">
        <v>9</v>
      </c>
      <c r="G108">
        <v>11417</v>
      </c>
      <c r="H108">
        <v>1126</v>
      </c>
      <c r="I108">
        <v>225</v>
      </c>
      <c r="J108">
        <v>360</v>
      </c>
      <c r="K108">
        <v>1</v>
      </c>
      <c r="L108" t="s">
        <v>5</v>
      </c>
      <c r="M108" t="s">
        <v>39</v>
      </c>
      <c r="N108" s="6">
        <f t="shared" ca="1" si="1"/>
        <v>43700</v>
      </c>
    </row>
    <row r="109" spans="1:14">
      <c r="A109" t="s">
        <v>147</v>
      </c>
      <c r="B109" t="s">
        <v>23</v>
      </c>
      <c r="C109" t="s">
        <v>9</v>
      </c>
      <c r="D109">
        <v>0</v>
      </c>
      <c r="E109" t="s">
        <v>11</v>
      </c>
      <c r="F109" t="s">
        <v>20</v>
      </c>
      <c r="G109">
        <v>7333</v>
      </c>
      <c r="H109">
        <v>0</v>
      </c>
      <c r="I109">
        <v>120</v>
      </c>
      <c r="J109">
        <v>360</v>
      </c>
      <c r="K109">
        <v>1</v>
      </c>
      <c r="L109" t="s">
        <v>3</v>
      </c>
      <c r="M109" t="s">
        <v>41</v>
      </c>
      <c r="N109" s="6">
        <f t="shared" ca="1" si="1"/>
        <v>43541</v>
      </c>
    </row>
    <row r="110" spans="1:14">
      <c r="A110" t="s">
        <v>148</v>
      </c>
      <c r="B110" t="s">
        <v>23</v>
      </c>
      <c r="C110" t="s">
        <v>10</v>
      </c>
      <c r="D110">
        <v>2</v>
      </c>
      <c r="E110" t="s">
        <v>7</v>
      </c>
      <c r="F110" t="s">
        <v>9</v>
      </c>
      <c r="G110">
        <v>3800</v>
      </c>
      <c r="H110">
        <v>3600</v>
      </c>
      <c r="I110">
        <v>216</v>
      </c>
      <c r="J110">
        <v>360</v>
      </c>
      <c r="K110">
        <v>0</v>
      </c>
      <c r="L110" t="s">
        <v>5</v>
      </c>
      <c r="M110" t="s">
        <v>41</v>
      </c>
      <c r="N110" s="6">
        <f t="shared" ca="1" si="1"/>
        <v>43588</v>
      </c>
    </row>
    <row r="111" spans="1:14">
      <c r="A111" t="s">
        <v>149</v>
      </c>
      <c r="B111" t="s">
        <v>23</v>
      </c>
      <c r="C111" t="s">
        <v>10</v>
      </c>
      <c r="D111">
        <v>3</v>
      </c>
      <c r="E111" t="s">
        <v>11</v>
      </c>
      <c r="F111" t="s">
        <v>9</v>
      </c>
      <c r="G111">
        <v>2071</v>
      </c>
      <c r="H111">
        <v>754</v>
      </c>
      <c r="I111">
        <v>94</v>
      </c>
      <c r="J111">
        <v>480</v>
      </c>
      <c r="K111">
        <v>1</v>
      </c>
      <c r="L111" t="s">
        <v>4</v>
      </c>
      <c r="M111" t="s">
        <v>39</v>
      </c>
      <c r="N111" s="6">
        <f t="shared" ca="1" si="1"/>
        <v>43729</v>
      </c>
    </row>
    <row r="112" spans="1:14">
      <c r="A112" t="s">
        <v>150</v>
      </c>
      <c r="B112" t="s">
        <v>23</v>
      </c>
      <c r="C112" t="s">
        <v>9</v>
      </c>
      <c r="D112">
        <v>0</v>
      </c>
      <c r="E112" t="s">
        <v>7</v>
      </c>
      <c r="F112" t="s">
        <v>9</v>
      </c>
      <c r="G112">
        <v>5316</v>
      </c>
      <c r="H112">
        <v>0</v>
      </c>
      <c r="I112">
        <v>136</v>
      </c>
      <c r="J112">
        <v>360</v>
      </c>
      <c r="K112">
        <v>1</v>
      </c>
      <c r="L112" t="s">
        <v>5</v>
      </c>
      <c r="M112" t="s">
        <v>39</v>
      </c>
      <c r="N112" s="6">
        <f t="shared" ca="1" si="1"/>
        <v>43737</v>
      </c>
    </row>
    <row r="113" spans="1:14">
      <c r="A113" t="s">
        <v>151</v>
      </c>
      <c r="B113" t="s">
        <v>8</v>
      </c>
      <c r="C113" t="s">
        <v>10</v>
      </c>
      <c r="D113">
        <v>0</v>
      </c>
      <c r="E113" t="s">
        <v>7</v>
      </c>
      <c r="F113" t="s">
        <v>20</v>
      </c>
      <c r="G113">
        <v>2929</v>
      </c>
      <c r="H113">
        <v>2333</v>
      </c>
      <c r="I113">
        <v>139</v>
      </c>
      <c r="J113">
        <v>360</v>
      </c>
      <c r="K113">
        <v>1</v>
      </c>
      <c r="L113" t="s">
        <v>4</v>
      </c>
      <c r="M113" t="s">
        <v>39</v>
      </c>
      <c r="N113" s="6">
        <f t="shared" ca="1" si="1"/>
        <v>43531</v>
      </c>
    </row>
    <row r="114" spans="1:14">
      <c r="A114" t="s">
        <v>152</v>
      </c>
      <c r="B114" t="s">
        <v>23</v>
      </c>
      <c r="C114" t="s">
        <v>10</v>
      </c>
      <c r="D114">
        <v>0</v>
      </c>
      <c r="E114" t="s">
        <v>11</v>
      </c>
      <c r="F114" t="s">
        <v>9</v>
      </c>
      <c r="G114">
        <v>3572</v>
      </c>
      <c r="H114">
        <v>4114</v>
      </c>
      <c r="I114">
        <v>152</v>
      </c>
      <c r="K114">
        <v>0</v>
      </c>
      <c r="L114" t="s">
        <v>3</v>
      </c>
      <c r="M114" t="s">
        <v>41</v>
      </c>
      <c r="N114" s="6">
        <f t="shared" ca="1" si="1"/>
        <v>43659</v>
      </c>
    </row>
    <row r="115" spans="1:14">
      <c r="A115" t="s">
        <v>153</v>
      </c>
      <c r="B115" t="s">
        <v>8</v>
      </c>
      <c r="C115" t="s">
        <v>9</v>
      </c>
      <c r="D115">
        <v>1</v>
      </c>
      <c r="E115" t="s">
        <v>7</v>
      </c>
      <c r="F115" t="s">
        <v>10</v>
      </c>
      <c r="G115">
        <v>7451</v>
      </c>
      <c r="H115">
        <v>0</v>
      </c>
      <c r="J115">
        <v>360</v>
      </c>
      <c r="K115">
        <v>1</v>
      </c>
      <c r="L115" t="s">
        <v>4</v>
      </c>
      <c r="M115" t="s">
        <v>39</v>
      </c>
      <c r="N115" s="6">
        <f t="shared" ca="1" si="1"/>
        <v>43581</v>
      </c>
    </row>
    <row r="116" spans="1:14">
      <c r="A116" t="s">
        <v>154</v>
      </c>
      <c r="B116" t="s">
        <v>23</v>
      </c>
      <c r="C116" t="s">
        <v>9</v>
      </c>
      <c r="D116">
        <v>0</v>
      </c>
      <c r="E116" t="s">
        <v>7</v>
      </c>
      <c r="F116" t="s">
        <v>20</v>
      </c>
      <c r="G116">
        <v>5050</v>
      </c>
      <c r="H116">
        <v>0</v>
      </c>
      <c r="I116">
        <v>118</v>
      </c>
      <c r="J116">
        <v>360</v>
      </c>
      <c r="K116">
        <v>1</v>
      </c>
      <c r="L116" t="s">
        <v>4</v>
      </c>
      <c r="M116" t="s">
        <v>39</v>
      </c>
      <c r="N116" s="6">
        <f t="shared" ca="1" si="1"/>
        <v>43804</v>
      </c>
    </row>
    <row r="117" spans="1:14">
      <c r="A117" t="s">
        <v>155</v>
      </c>
      <c r="B117" t="s">
        <v>23</v>
      </c>
      <c r="C117" t="s">
        <v>10</v>
      </c>
      <c r="D117">
        <v>1</v>
      </c>
      <c r="E117" t="s">
        <v>7</v>
      </c>
      <c r="F117" t="s">
        <v>9</v>
      </c>
      <c r="G117">
        <v>14583</v>
      </c>
      <c r="H117">
        <v>0</v>
      </c>
      <c r="I117">
        <v>185</v>
      </c>
      <c r="J117">
        <v>180</v>
      </c>
      <c r="K117">
        <v>1</v>
      </c>
      <c r="L117" t="s">
        <v>3</v>
      </c>
      <c r="M117" t="s">
        <v>39</v>
      </c>
      <c r="N117" s="6">
        <f t="shared" ca="1" si="1"/>
        <v>43515</v>
      </c>
    </row>
    <row r="118" spans="1:14">
      <c r="A118" t="s">
        <v>156</v>
      </c>
      <c r="B118" t="s">
        <v>8</v>
      </c>
      <c r="C118" t="s">
        <v>10</v>
      </c>
      <c r="D118">
        <v>0</v>
      </c>
      <c r="E118" t="s">
        <v>7</v>
      </c>
      <c r="F118" t="s">
        <v>9</v>
      </c>
      <c r="G118">
        <v>3167</v>
      </c>
      <c r="H118">
        <v>2283</v>
      </c>
      <c r="I118">
        <v>154000</v>
      </c>
      <c r="J118">
        <v>360</v>
      </c>
      <c r="K118">
        <v>1</v>
      </c>
      <c r="L118" t="s">
        <v>4</v>
      </c>
      <c r="M118" t="s">
        <v>39</v>
      </c>
      <c r="N118" s="6">
        <f t="shared" ca="1" si="1"/>
        <v>43758</v>
      </c>
    </row>
    <row r="119" spans="1:14">
      <c r="A119" t="s">
        <v>157</v>
      </c>
      <c r="B119" t="s">
        <v>23</v>
      </c>
      <c r="C119" t="s">
        <v>10</v>
      </c>
      <c r="D119">
        <v>1</v>
      </c>
      <c r="E119" t="s">
        <v>7</v>
      </c>
      <c r="F119" t="s">
        <v>9</v>
      </c>
      <c r="G119">
        <v>2214</v>
      </c>
      <c r="H119">
        <v>1398</v>
      </c>
      <c r="I119">
        <v>85</v>
      </c>
      <c r="J119">
        <v>360</v>
      </c>
      <c r="L119" t="s">
        <v>5</v>
      </c>
      <c r="M119" t="s">
        <v>39</v>
      </c>
      <c r="N119" s="6">
        <f t="shared" ca="1" si="1"/>
        <v>43708</v>
      </c>
    </row>
    <row r="120" spans="1:14">
      <c r="A120" t="s">
        <v>158</v>
      </c>
      <c r="B120" t="s">
        <v>23</v>
      </c>
      <c r="C120" t="s">
        <v>10</v>
      </c>
      <c r="D120">
        <v>0</v>
      </c>
      <c r="E120" t="s">
        <v>7</v>
      </c>
      <c r="F120" t="s">
        <v>9</v>
      </c>
      <c r="G120">
        <v>5568</v>
      </c>
      <c r="H120">
        <v>2142</v>
      </c>
      <c r="I120">
        <v>175</v>
      </c>
      <c r="J120">
        <v>360</v>
      </c>
      <c r="K120">
        <v>1</v>
      </c>
      <c r="L120" t="s">
        <v>3</v>
      </c>
      <c r="M120" t="s">
        <v>41</v>
      </c>
      <c r="N120" s="6">
        <f t="shared" ca="1" si="1"/>
        <v>43792</v>
      </c>
    </row>
    <row r="121" spans="1:14">
      <c r="A121" t="s">
        <v>159</v>
      </c>
      <c r="B121" t="s">
        <v>8</v>
      </c>
      <c r="C121" t="s">
        <v>9</v>
      </c>
      <c r="D121">
        <v>0</v>
      </c>
      <c r="E121" t="s">
        <v>7</v>
      </c>
      <c r="F121" t="s">
        <v>9</v>
      </c>
      <c r="G121">
        <v>10408</v>
      </c>
      <c r="H121">
        <v>0</v>
      </c>
      <c r="I121">
        <v>259</v>
      </c>
      <c r="J121">
        <v>360</v>
      </c>
      <c r="K121">
        <v>1</v>
      </c>
      <c r="L121" t="s">
        <v>5</v>
      </c>
      <c r="M121" t="s">
        <v>39</v>
      </c>
      <c r="N121" s="6">
        <f t="shared" ca="1" si="1"/>
        <v>43757</v>
      </c>
    </row>
    <row r="122" spans="1:14">
      <c r="A122" t="s">
        <v>160</v>
      </c>
      <c r="B122" t="s">
        <v>23</v>
      </c>
      <c r="C122" t="s">
        <v>10</v>
      </c>
      <c r="E122" t="s">
        <v>7</v>
      </c>
      <c r="F122" t="s">
        <v>9</v>
      </c>
      <c r="G122">
        <v>5667</v>
      </c>
      <c r="H122">
        <v>2667</v>
      </c>
      <c r="I122">
        <v>180</v>
      </c>
      <c r="J122">
        <v>360</v>
      </c>
      <c r="K122">
        <v>1</v>
      </c>
      <c r="L122" t="s">
        <v>3</v>
      </c>
      <c r="M122" t="s">
        <v>39</v>
      </c>
      <c r="N122" s="6">
        <f t="shared" ca="1" si="1"/>
        <v>43728</v>
      </c>
    </row>
    <row r="123" spans="1:14">
      <c r="A123" t="s">
        <v>161</v>
      </c>
      <c r="B123" t="s">
        <v>8</v>
      </c>
      <c r="C123" t="s">
        <v>9</v>
      </c>
      <c r="D123">
        <v>0</v>
      </c>
      <c r="E123" t="s">
        <v>7</v>
      </c>
      <c r="F123" t="s">
        <v>9</v>
      </c>
      <c r="G123">
        <v>4166</v>
      </c>
      <c r="H123">
        <v>0</v>
      </c>
      <c r="I123">
        <v>44</v>
      </c>
      <c r="J123">
        <v>360</v>
      </c>
      <c r="K123">
        <v>1</v>
      </c>
      <c r="L123" t="s">
        <v>4</v>
      </c>
      <c r="M123" t="s">
        <v>39</v>
      </c>
      <c r="N123" s="6">
        <f t="shared" ca="1" si="1"/>
        <v>43496</v>
      </c>
    </row>
    <row r="124" spans="1:14">
      <c r="A124" t="s">
        <v>162</v>
      </c>
      <c r="B124" t="s">
        <v>8</v>
      </c>
      <c r="C124" t="s">
        <v>9</v>
      </c>
      <c r="D124">
        <v>0</v>
      </c>
      <c r="E124" t="s">
        <v>7</v>
      </c>
      <c r="F124" t="s">
        <v>9</v>
      </c>
      <c r="G124">
        <v>2137</v>
      </c>
      <c r="H124">
        <v>8980</v>
      </c>
      <c r="I124">
        <v>137</v>
      </c>
      <c r="J124">
        <v>360</v>
      </c>
      <c r="K124">
        <v>0</v>
      </c>
      <c r="L124" t="s">
        <v>4</v>
      </c>
      <c r="M124" t="s">
        <v>39</v>
      </c>
      <c r="N124" s="6">
        <f t="shared" ca="1" si="1"/>
        <v>43673</v>
      </c>
    </row>
    <row r="125" spans="1:14">
      <c r="A125" t="s">
        <v>163</v>
      </c>
      <c r="B125" t="s">
        <v>23</v>
      </c>
      <c r="C125" t="s">
        <v>10</v>
      </c>
      <c r="D125">
        <v>2</v>
      </c>
      <c r="E125" t="s">
        <v>7</v>
      </c>
      <c r="F125" t="s">
        <v>9</v>
      </c>
      <c r="G125">
        <v>2957</v>
      </c>
      <c r="H125">
        <v>0</v>
      </c>
      <c r="I125">
        <v>81</v>
      </c>
      <c r="J125">
        <v>360</v>
      </c>
      <c r="K125">
        <v>1</v>
      </c>
      <c r="L125" t="s">
        <v>4</v>
      </c>
      <c r="M125" t="s">
        <v>39</v>
      </c>
      <c r="N125" s="6">
        <f t="shared" ca="1" si="1"/>
        <v>43616</v>
      </c>
    </row>
    <row r="126" spans="1:14">
      <c r="A126" t="s">
        <v>164</v>
      </c>
      <c r="B126" t="s">
        <v>23</v>
      </c>
      <c r="C126" t="s">
        <v>10</v>
      </c>
      <c r="D126">
        <v>0</v>
      </c>
      <c r="E126" t="s">
        <v>11</v>
      </c>
      <c r="F126" t="s">
        <v>9</v>
      </c>
      <c r="G126">
        <v>4300</v>
      </c>
      <c r="H126">
        <v>2014</v>
      </c>
      <c r="I126">
        <v>19400</v>
      </c>
      <c r="J126">
        <v>360</v>
      </c>
      <c r="K126">
        <v>1</v>
      </c>
      <c r="L126" t="s">
        <v>3</v>
      </c>
      <c r="M126" t="s">
        <v>39</v>
      </c>
      <c r="N126" s="6">
        <f t="shared" ca="1" si="1"/>
        <v>43728</v>
      </c>
    </row>
    <row r="127" spans="1:14">
      <c r="A127" t="s">
        <v>165</v>
      </c>
      <c r="B127" t="s">
        <v>8</v>
      </c>
      <c r="C127" t="s">
        <v>9</v>
      </c>
      <c r="D127">
        <v>0</v>
      </c>
      <c r="E127" t="s">
        <v>7</v>
      </c>
      <c r="F127" t="s">
        <v>9</v>
      </c>
      <c r="G127">
        <v>3692</v>
      </c>
      <c r="H127">
        <v>0</v>
      </c>
      <c r="I127">
        <v>93</v>
      </c>
      <c r="J127">
        <v>360</v>
      </c>
      <c r="L127" t="s">
        <v>3</v>
      </c>
      <c r="M127" t="s">
        <v>39</v>
      </c>
      <c r="N127" s="6">
        <f t="shared" ca="1" si="1"/>
        <v>43701</v>
      </c>
    </row>
    <row r="128" spans="1:14">
      <c r="A128" t="s">
        <v>166</v>
      </c>
      <c r="B128" t="s">
        <v>20</v>
      </c>
      <c r="C128" t="s">
        <v>10</v>
      </c>
      <c r="D128">
        <v>3</v>
      </c>
      <c r="E128" t="s">
        <v>7</v>
      </c>
      <c r="F128" t="s">
        <v>9</v>
      </c>
      <c r="G128">
        <v>23803</v>
      </c>
      <c r="H128">
        <v>0</v>
      </c>
      <c r="I128">
        <v>370</v>
      </c>
      <c r="J128">
        <v>360</v>
      </c>
      <c r="K128">
        <v>1</v>
      </c>
      <c r="L128" t="s">
        <v>3</v>
      </c>
      <c r="M128" t="s">
        <v>39</v>
      </c>
      <c r="N128" s="6">
        <f t="shared" ca="1" si="1"/>
        <v>43716</v>
      </c>
    </row>
    <row r="129" spans="1:14">
      <c r="A129" t="s">
        <v>167</v>
      </c>
      <c r="B129" t="s">
        <v>23</v>
      </c>
      <c r="C129" t="s">
        <v>9</v>
      </c>
      <c r="D129">
        <v>0</v>
      </c>
      <c r="E129" t="s">
        <v>7</v>
      </c>
      <c r="F129" t="s">
        <v>9</v>
      </c>
      <c r="G129">
        <v>3865</v>
      </c>
      <c r="H129">
        <v>1640</v>
      </c>
      <c r="J129">
        <v>360</v>
      </c>
      <c r="K129">
        <v>1</v>
      </c>
      <c r="L129" t="s">
        <v>3</v>
      </c>
      <c r="M129" t="s">
        <v>39</v>
      </c>
      <c r="N129" s="6">
        <f t="shared" ca="1" si="1"/>
        <v>43684</v>
      </c>
    </row>
    <row r="130" spans="1:14">
      <c r="A130" t="s">
        <v>168</v>
      </c>
      <c r="B130" t="s">
        <v>23</v>
      </c>
      <c r="C130" t="s">
        <v>10</v>
      </c>
      <c r="D130">
        <v>1</v>
      </c>
      <c r="E130" t="s">
        <v>7</v>
      </c>
      <c r="F130" t="s">
        <v>10</v>
      </c>
      <c r="G130">
        <v>10513</v>
      </c>
      <c r="H130">
        <v>3850</v>
      </c>
      <c r="I130">
        <v>160</v>
      </c>
      <c r="J130">
        <v>180</v>
      </c>
      <c r="K130">
        <v>0</v>
      </c>
      <c r="L130" t="s">
        <v>5</v>
      </c>
      <c r="M130" t="s">
        <v>41</v>
      </c>
      <c r="N130" s="6">
        <f t="shared" ref="N130:N193" ca="1" si="2">RANDBETWEEN(DATE(2019,1,1),DATE(2019,12,31))</f>
        <v>43739</v>
      </c>
    </row>
    <row r="131" spans="1:14">
      <c r="A131" t="s">
        <v>169</v>
      </c>
      <c r="B131" t="s">
        <v>23</v>
      </c>
      <c r="C131" t="s">
        <v>10</v>
      </c>
      <c r="D131">
        <v>0</v>
      </c>
      <c r="E131" t="s">
        <v>7</v>
      </c>
      <c r="F131" t="s">
        <v>9</v>
      </c>
      <c r="G131">
        <v>6080</v>
      </c>
      <c r="H131">
        <v>2569</v>
      </c>
      <c r="I131">
        <v>182</v>
      </c>
      <c r="J131">
        <v>360</v>
      </c>
      <c r="L131" t="s">
        <v>3</v>
      </c>
      <c r="M131" t="s">
        <v>41</v>
      </c>
      <c r="N131" s="6">
        <f t="shared" ca="1" si="2"/>
        <v>43592</v>
      </c>
    </row>
    <row r="132" spans="1:14">
      <c r="A132" t="s">
        <v>170</v>
      </c>
      <c r="B132" t="s">
        <v>23</v>
      </c>
      <c r="C132" t="s">
        <v>9</v>
      </c>
      <c r="D132">
        <v>0</v>
      </c>
      <c r="E132" t="s">
        <v>7</v>
      </c>
      <c r="F132" t="s">
        <v>10</v>
      </c>
      <c r="G132">
        <v>20166</v>
      </c>
      <c r="H132">
        <v>0</v>
      </c>
      <c r="I132">
        <v>650</v>
      </c>
      <c r="J132">
        <v>480</v>
      </c>
      <c r="L132" t="s">
        <v>5</v>
      </c>
      <c r="M132" t="s">
        <v>39</v>
      </c>
      <c r="N132" s="6">
        <f t="shared" ca="1" si="2"/>
        <v>43672</v>
      </c>
    </row>
    <row r="133" spans="1:14">
      <c r="A133" t="s">
        <v>171</v>
      </c>
      <c r="B133" t="s">
        <v>23</v>
      </c>
      <c r="C133" t="s">
        <v>9</v>
      </c>
      <c r="D133">
        <v>0</v>
      </c>
      <c r="E133" t="s">
        <v>7</v>
      </c>
      <c r="F133" t="s">
        <v>9</v>
      </c>
      <c r="G133">
        <v>2014</v>
      </c>
      <c r="H133">
        <v>1929</v>
      </c>
      <c r="I133">
        <v>74</v>
      </c>
      <c r="J133">
        <v>360</v>
      </c>
      <c r="K133">
        <v>1</v>
      </c>
      <c r="L133" t="s">
        <v>5</v>
      </c>
      <c r="M133" t="s">
        <v>39</v>
      </c>
      <c r="N133" s="6">
        <f t="shared" ca="1" si="2"/>
        <v>43593</v>
      </c>
    </row>
    <row r="134" spans="1:14">
      <c r="A134" t="s">
        <v>172</v>
      </c>
      <c r="B134" t="s">
        <v>23</v>
      </c>
      <c r="C134" t="s">
        <v>9</v>
      </c>
      <c r="D134">
        <v>0</v>
      </c>
      <c r="E134" t="s">
        <v>7</v>
      </c>
      <c r="F134" t="s">
        <v>9</v>
      </c>
      <c r="G134">
        <v>2718</v>
      </c>
      <c r="H134">
        <v>0</v>
      </c>
      <c r="I134">
        <v>70</v>
      </c>
      <c r="J134">
        <v>360</v>
      </c>
      <c r="K134">
        <v>1</v>
      </c>
      <c r="L134" t="s">
        <v>4</v>
      </c>
      <c r="M134" t="s">
        <v>39</v>
      </c>
      <c r="N134" s="6">
        <f t="shared" ca="1" si="2"/>
        <v>43593</v>
      </c>
    </row>
    <row r="135" spans="1:14">
      <c r="A135" t="s">
        <v>173</v>
      </c>
      <c r="B135" t="s">
        <v>23</v>
      </c>
      <c r="C135" t="s">
        <v>10</v>
      </c>
      <c r="D135">
        <v>0</v>
      </c>
      <c r="E135" t="s">
        <v>7</v>
      </c>
      <c r="F135" t="s">
        <v>10</v>
      </c>
      <c r="G135">
        <v>3459</v>
      </c>
      <c r="H135">
        <v>0</v>
      </c>
      <c r="I135">
        <v>250</v>
      </c>
      <c r="J135">
        <v>120</v>
      </c>
      <c r="K135">
        <v>1</v>
      </c>
      <c r="L135" t="s">
        <v>4</v>
      </c>
      <c r="M135" t="s">
        <v>39</v>
      </c>
      <c r="N135" s="6">
        <f t="shared" ca="1" si="2"/>
        <v>43701</v>
      </c>
    </row>
    <row r="136" spans="1:14">
      <c r="A136" t="s">
        <v>174</v>
      </c>
      <c r="B136" t="s">
        <v>23</v>
      </c>
      <c r="C136" t="s">
        <v>9</v>
      </c>
      <c r="D136">
        <v>0</v>
      </c>
      <c r="E136" t="s">
        <v>7</v>
      </c>
      <c r="F136" t="s">
        <v>9</v>
      </c>
      <c r="G136">
        <v>4895</v>
      </c>
      <c r="H136">
        <v>0</v>
      </c>
      <c r="I136">
        <v>102</v>
      </c>
      <c r="J136">
        <v>360</v>
      </c>
      <c r="K136">
        <v>1</v>
      </c>
      <c r="L136" t="s">
        <v>4</v>
      </c>
      <c r="M136" t="s">
        <v>39</v>
      </c>
      <c r="N136" s="6">
        <f t="shared" ca="1" si="2"/>
        <v>43562</v>
      </c>
    </row>
    <row r="137" spans="1:14">
      <c r="A137" t="s">
        <v>175</v>
      </c>
      <c r="B137" t="s">
        <v>23</v>
      </c>
      <c r="C137" t="s">
        <v>10</v>
      </c>
      <c r="D137">
        <v>3</v>
      </c>
      <c r="E137" t="s">
        <v>7</v>
      </c>
      <c r="F137" t="s">
        <v>9</v>
      </c>
      <c r="G137">
        <v>4000</v>
      </c>
      <c r="H137">
        <v>7750</v>
      </c>
      <c r="I137">
        <v>290</v>
      </c>
      <c r="J137">
        <v>360</v>
      </c>
      <c r="K137">
        <v>1</v>
      </c>
      <c r="L137" t="s">
        <v>4</v>
      </c>
      <c r="M137" t="s">
        <v>41</v>
      </c>
      <c r="N137" s="6">
        <f t="shared" ca="1" si="2"/>
        <v>43794</v>
      </c>
    </row>
    <row r="138" spans="1:14">
      <c r="A138" t="s">
        <v>176</v>
      </c>
      <c r="B138" t="s">
        <v>8</v>
      </c>
      <c r="C138" t="s">
        <v>10</v>
      </c>
      <c r="D138">
        <v>0</v>
      </c>
      <c r="E138" t="s">
        <v>7</v>
      </c>
      <c r="F138" t="s">
        <v>9</v>
      </c>
      <c r="G138">
        <v>4583</v>
      </c>
      <c r="H138">
        <v>0</v>
      </c>
      <c r="I138">
        <v>84</v>
      </c>
      <c r="J138">
        <v>360</v>
      </c>
      <c r="K138">
        <v>1</v>
      </c>
      <c r="L138" t="s">
        <v>3</v>
      </c>
      <c r="M138" t="s">
        <v>41</v>
      </c>
      <c r="N138" s="6">
        <f t="shared" ca="1" si="2"/>
        <v>43791</v>
      </c>
    </row>
    <row r="139" spans="1:14">
      <c r="A139" t="s">
        <v>177</v>
      </c>
      <c r="B139" t="s">
        <v>23</v>
      </c>
      <c r="C139" t="s">
        <v>10</v>
      </c>
      <c r="D139">
        <v>2</v>
      </c>
      <c r="E139" t="s">
        <v>7</v>
      </c>
      <c r="F139" t="s">
        <v>10</v>
      </c>
      <c r="G139">
        <v>3316</v>
      </c>
      <c r="H139">
        <v>3500</v>
      </c>
      <c r="I139">
        <v>88</v>
      </c>
      <c r="J139">
        <v>360</v>
      </c>
      <c r="K139">
        <v>1</v>
      </c>
      <c r="L139" t="s">
        <v>5</v>
      </c>
      <c r="M139" t="s">
        <v>39</v>
      </c>
      <c r="N139" s="6">
        <f t="shared" ca="1" si="2"/>
        <v>43793</v>
      </c>
    </row>
    <row r="140" spans="1:14">
      <c r="A140" t="s">
        <v>178</v>
      </c>
      <c r="B140" t="s">
        <v>23</v>
      </c>
      <c r="C140" t="s">
        <v>9</v>
      </c>
      <c r="D140">
        <v>0</v>
      </c>
      <c r="E140" t="s">
        <v>7</v>
      </c>
      <c r="F140" t="s">
        <v>9</v>
      </c>
      <c r="G140">
        <v>14999</v>
      </c>
      <c r="H140">
        <v>0</v>
      </c>
      <c r="I140">
        <v>242</v>
      </c>
      <c r="J140">
        <v>360</v>
      </c>
      <c r="K140">
        <v>0</v>
      </c>
      <c r="L140" t="s">
        <v>4</v>
      </c>
      <c r="M140" t="s">
        <v>41</v>
      </c>
      <c r="N140" s="6">
        <f t="shared" ca="1" si="2"/>
        <v>43666</v>
      </c>
    </row>
    <row r="141" spans="1:14">
      <c r="A141" t="s">
        <v>179</v>
      </c>
      <c r="B141" t="s">
        <v>23</v>
      </c>
      <c r="C141" t="s">
        <v>10</v>
      </c>
      <c r="D141">
        <v>2</v>
      </c>
      <c r="E141" t="s">
        <v>11</v>
      </c>
      <c r="F141" t="s">
        <v>9</v>
      </c>
      <c r="G141">
        <v>4200</v>
      </c>
      <c r="H141">
        <v>1430</v>
      </c>
      <c r="I141">
        <v>129</v>
      </c>
      <c r="J141">
        <v>360</v>
      </c>
      <c r="K141">
        <v>1</v>
      </c>
      <c r="L141" t="s">
        <v>3</v>
      </c>
      <c r="M141" t="s">
        <v>41</v>
      </c>
      <c r="N141" s="6">
        <f t="shared" ca="1" si="2"/>
        <v>43592</v>
      </c>
    </row>
    <row r="142" spans="1:14">
      <c r="A142" t="s">
        <v>180</v>
      </c>
      <c r="B142" t="s">
        <v>23</v>
      </c>
      <c r="C142" t="s">
        <v>10</v>
      </c>
      <c r="D142">
        <v>2</v>
      </c>
      <c r="E142" t="s">
        <v>7</v>
      </c>
      <c r="F142" t="s">
        <v>9</v>
      </c>
      <c r="G142">
        <v>5042</v>
      </c>
      <c r="H142">
        <v>2083</v>
      </c>
      <c r="I142">
        <v>185</v>
      </c>
      <c r="J142">
        <v>360</v>
      </c>
      <c r="K142">
        <v>1</v>
      </c>
      <c r="L142" t="s">
        <v>3</v>
      </c>
      <c r="M142" t="s">
        <v>41</v>
      </c>
      <c r="N142" s="6">
        <f t="shared" ca="1" si="2"/>
        <v>43719</v>
      </c>
    </row>
    <row r="143" spans="1:14">
      <c r="A143" t="s">
        <v>181</v>
      </c>
      <c r="B143" t="s">
        <v>23</v>
      </c>
      <c r="C143" t="s">
        <v>9</v>
      </c>
      <c r="D143">
        <v>0</v>
      </c>
      <c r="E143" t="s">
        <v>7</v>
      </c>
      <c r="F143" t="s">
        <v>9</v>
      </c>
      <c r="G143">
        <v>5417</v>
      </c>
      <c r="H143">
        <v>0</v>
      </c>
      <c r="I143">
        <v>168</v>
      </c>
      <c r="J143">
        <v>360</v>
      </c>
      <c r="K143">
        <v>1</v>
      </c>
      <c r="L143" t="s">
        <v>5</v>
      </c>
      <c r="M143" t="s">
        <v>39</v>
      </c>
      <c r="N143" s="6">
        <f t="shared" ca="1" si="2"/>
        <v>43804</v>
      </c>
    </row>
    <row r="144" spans="1:14">
      <c r="A144" t="s">
        <v>182</v>
      </c>
      <c r="B144" t="s">
        <v>23</v>
      </c>
      <c r="C144" t="s">
        <v>9</v>
      </c>
      <c r="D144">
        <v>0</v>
      </c>
      <c r="E144" t="s">
        <v>7</v>
      </c>
      <c r="F144" t="s">
        <v>10</v>
      </c>
      <c r="G144">
        <v>6950</v>
      </c>
      <c r="H144">
        <v>0</v>
      </c>
      <c r="I144">
        <v>1750</v>
      </c>
      <c r="J144">
        <v>180</v>
      </c>
      <c r="K144">
        <v>1</v>
      </c>
      <c r="L144" t="s">
        <v>4</v>
      </c>
      <c r="M144" t="s">
        <v>39</v>
      </c>
      <c r="N144" s="6">
        <f t="shared" ca="1" si="2"/>
        <v>43540</v>
      </c>
    </row>
    <row r="145" spans="1:14">
      <c r="A145" t="s">
        <v>183</v>
      </c>
      <c r="B145" t="s">
        <v>23</v>
      </c>
      <c r="C145" t="s">
        <v>10</v>
      </c>
      <c r="D145">
        <v>0</v>
      </c>
      <c r="E145" t="s">
        <v>7</v>
      </c>
      <c r="F145" t="s">
        <v>9</v>
      </c>
      <c r="G145">
        <v>2698</v>
      </c>
      <c r="H145">
        <v>2034</v>
      </c>
      <c r="I145">
        <v>122</v>
      </c>
      <c r="J145">
        <v>360</v>
      </c>
      <c r="K145">
        <v>1</v>
      </c>
      <c r="L145" t="s">
        <v>4</v>
      </c>
      <c r="M145" t="s">
        <v>39</v>
      </c>
      <c r="N145" s="6">
        <f t="shared" ca="1" si="2"/>
        <v>43811</v>
      </c>
    </row>
    <row r="146" spans="1:14">
      <c r="A146" t="s">
        <v>184</v>
      </c>
      <c r="B146" t="s">
        <v>23</v>
      </c>
      <c r="C146" t="s">
        <v>10</v>
      </c>
      <c r="D146">
        <v>2</v>
      </c>
      <c r="E146" t="s">
        <v>7</v>
      </c>
      <c r="F146" t="s">
        <v>9</v>
      </c>
      <c r="G146">
        <v>11757</v>
      </c>
      <c r="H146">
        <v>0</v>
      </c>
      <c r="I146">
        <v>187</v>
      </c>
      <c r="J146">
        <v>180</v>
      </c>
      <c r="K146">
        <v>1</v>
      </c>
      <c r="L146" t="s">
        <v>5</v>
      </c>
      <c r="M146" t="s">
        <v>39</v>
      </c>
      <c r="N146" s="6">
        <f t="shared" ca="1" si="2"/>
        <v>43634</v>
      </c>
    </row>
    <row r="147" spans="1:14">
      <c r="A147" t="s">
        <v>185</v>
      </c>
      <c r="B147" t="s">
        <v>8</v>
      </c>
      <c r="C147" t="s">
        <v>10</v>
      </c>
      <c r="D147">
        <v>0</v>
      </c>
      <c r="E147" t="s">
        <v>7</v>
      </c>
      <c r="F147" t="s">
        <v>9</v>
      </c>
      <c r="G147">
        <v>2330</v>
      </c>
      <c r="H147">
        <v>4486</v>
      </c>
      <c r="I147">
        <v>100</v>
      </c>
      <c r="J147">
        <v>360</v>
      </c>
      <c r="K147">
        <v>1</v>
      </c>
      <c r="L147" t="s">
        <v>4</v>
      </c>
      <c r="M147" t="s">
        <v>39</v>
      </c>
      <c r="N147" s="6">
        <f t="shared" ca="1" si="2"/>
        <v>43809</v>
      </c>
    </row>
    <row r="148" spans="1:14">
      <c r="A148" t="s">
        <v>186</v>
      </c>
      <c r="B148" t="s">
        <v>8</v>
      </c>
      <c r="C148" t="s">
        <v>10</v>
      </c>
      <c r="D148">
        <v>2</v>
      </c>
      <c r="E148" t="s">
        <v>7</v>
      </c>
      <c r="F148" t="s">
        <v>9</v>
      </c>
      <c r="G148">
        <v>14866</v>
      </c>
      <c r="H148">
        <v>0</v>
      </c>
      <c r="I148">
        <v>70</v>
      </c>
      <c r="J148">
        <v>360</v>
      </c>
      <c r="K148">
        <v>1</v>
      </c>
      <c r="L148" t="s">
        <v>5</v>
      </c>
      <c r="M148" t="s">
        <v>39</v>
      </c>
      <c r="N148" s="6">
        <f t="shared" ca="1" si="2"/>
        <v>43606</v>
      </c>
    </row>
    <row r="149" spans="1:14">
      <c r="A149" t="s">
        <v>187</v>
      </c>
      <c r="B149" t="s">
        <v>23</v>
      </c>
      <c r="C149" t="s">
        <v>10</v>
      </c>
      <c r="D149">
        <v>1</v>
      </c>
      <c r="E149" t="s">
        <v>7</v>
      </c>
      <c r="F149" t="s">
        <v>9</v>
      </c>
      <c r="G149">
        <v>1538</v>
      </c>
      <c r="H149">
        <v>1425</v>
      </c>
      <c r="I149">
        <v>30</v>
      </c>
      <c r="J149">
        <v>360</v>
      </c>
      <c r="K149">
        <v>1</v>
      </c>
      <c r="L149" t="s">
        <v>5</v>
      </c>
      <c r="M149" t="s">
        <v>39</v>
      </c>
      <c r="N149" s="6">
        <f t="shared" ca="1" si="2"/>
        <v>43561</v>
      </c>
    </row>
    <row r="150" spans="1:14">
      <c r="A150" t="s">
        <v>188</v>
      </c>
      <c r="B150" t="s">
        <v>8</v>
      </c>
      <c r="C150" t="s">
        <v>9</v>
      </c>
      <c r="D150">
        <v>0</v>
      </c>
      <c r="E150" t="s">
        <v>7</v>
      </c>
      <c r="F150" t="s">
        <v>9</v>
      </c>
      <c r="G150">
        <v>10000</v>
      </c>
      <c r="H150">
        <v>1666</v>
      </c>
      <c r="I150">
        <v>225</v>
      </c>
      <c r="J150">
        <v>360</v>
      </c>
      <c r="K150">
        <v>1</v>
      </c>
      <c r="L150" t="s">
        <v>3</v>
      </c>
      <c r="M150" t="s">
        <v>41</v>
      </c>
      <c r="N150" s="6">
        <f t="shared" ca="1" si="2"/>
        <v>43500</v>
      </c>
    </row>
    <row r="151" spans="1:14">
      <c r="A151" t="s">
        <v>189</v>
      </c>
      <c r="B151" t="s">
        <v>23</v>
      </c>
      <c r="C151" t="s">
        <v>10</v>
      </c>
      <c r="D151">
        <v>0</v>
      </c>
      <c r="E151" t="s">
        <v>7</v>
      </c>
      <c r="F151" t="s">
        <v>9</v>
      </c>
      <c r="G151">
        <v>4860</v>
      </c>
      <c r="H151">
        <v>830</v>
      </c>
      <c r="I151">
        <v>125</v>
      </c>
      <c r="J151">
        <v>360</v>
      </c>
      <c r="K151">
        <v>1</v>
      </c>
      <c r="L151" t="s">
        <v>4</v>
      </c>
      <c r="M151" t="s">
        <v>39</v>
      </c>
      <c r="N151" s="6">
        <f t="shared" ca="1" si="2"/>
        <v>43470</v>
      </c>
    </row>
    <row r="152" spans="1:14">
      <c r="A152" t="s">
        <v>190</v>
      </c>
      <c r="B152" t="s">
        <v>23</v>
      </c>
      <c r="C152" t="s">
        <v>9</v>
      </c>
      <c r="D152">
        <v>0</v>
      </c>
      <c r="E152" t="s">
        <v>7</v>
      </c>
      <c r="F152" t="s">
        <v>9</v>
      </c>
      <c r="G152">
        <v>6277</v>
      </c>
      <c r="H152">
        <v>0</v>
      </c>
      <c r="I152">
        <v>118</v>
      </c>
      <c r="J152">
        <v>360</v>
      </c>
      <c r="K152">
        <v>0</v>
      </c>
      <c r="L152" t="s">
        <v>3</v>
      </c>
      <c r="M152" t="s">
        <v>41</v>
      </c>
      <c r="N152" s="6">
        <f t="shared" ca="1" si="2"/>
        <v>43652</v>
      </c>
    </row>
    <row r="153" spans="1:14">
      <c r="A153" t="s">
        <v>191</v>
      </c>
      <c r="B153" t="s">
        <v>23</v>
      </c>
      <c r="C153" t="s">
        <v>10</v>
      </c>
      <c r="D153">
        <v>0</v>
      </c>
      <c r="E153" t="s">
        <v>7</v>
      </c>
      <c r="F153" t="s">
        <v>10</v>
      </c>
      <c r="G153">
        <v>2577</v>
      </c>
      <c r="H153">
        <v>3750</v>
      </c>
      <c r="I153">
        <v>152</v>
      </c>
      <c r="J153">
        <v>360</v>
      </c>
      <c r="K153">
        <v>1</v>
      </c>
      <c r="L153" t="s">
        <v>3</v>
      </c>
      <c r="M153" t="s">
        <v>39</v>
      </c>
      <c r="N153" s="6">
        <f t="shared" ca="1" si="2"/>
        <v>43770</v>
      </c>
    </row>
    <row r="154" spans="1:14">
      <c r="A154" t="s">
        <v>192</v>
      </c>
      <c r="B154" t="s">
        <v>23</v>
      </c>
      <c r="C154" t="s">
        <v>9</v>
      </c>
      <c r="D154">
        <v>0</v>
      </c>
      <c r="E154" t="s">
        <v>7</v>
      </c>
      <c r="F154" t="s">
        <v>9</v>
      </c>
      <c r="G154">
        <v>9166</v>
      </c>
      <c r="H154">
        <v>0</v>
      </c>
      <c r="I154">
        <v>244</v>
      </c>
      <c r="J154">
        <v>360</v>
      </c>
      <c r="K154">
        <v>1</v>
      </c>
      <c r="L154" t="s">
        <v>5</v>
      </c>
      <c r="M154" t="s">
        <v>41</v>
      </c>
      <c r="N154" s="6">
        <f t="shared" ca="1" si="2"/>
        <v>43609</v>
      </c>
    </row>
    <row r="155" spans="1:14">
      <c r="A155" t="s">
        <v>193</v>
      </c>
      <c r="B155" t="s">
        <v>23</v>
      </c>
      <c r="C155" t="s">
        <v>10</v>
      </c>
      <c r="D155">
        <v>2</v>
      </c>
      <c r="E155" t="s">
        <v>11</v>
      </c>
      <c r="F155" t="s">
        <v>9</v>
      </c>
      <c r="G155">
        <v>2281</v>
      </c>
      <c r="H155">
        <v>0</v>
      </c>
      <c r="I155">
        <v>113</v>
      </c>
      <c r="J155">
        <v>360</v>
      </c>
      <c r="K155">
        <v>1</v>
      </c>
      <c r="L155" t="s">
        <v>3</v>
      </c>
      <c r="M155" t="s">
        <v>41</v>
      </c>
      <c r="N155" s="6">
        <f t="shared" ca="1" si="2"/>
        <v>43711</v>
      </c>
    </row>
    <row r="156" spans="1:14">
      <c r="A156" t="s">
        <v>194</v>
      </c>
      <c r="B156" t="s">
        <v>23</v>
      </c>
      <c r="C156" t="s">
        <v>9</v>
      </c>
      <c r="D156">
        <v>0</v>
      </c>
      <c r="E156" t="s">
        <v>7</v>
      </c>
      <c r="F156" t="s">
        <v>9</v>
      </c>
      <c r="G156">
        <v>3254</v>
      </c>
      <c r="H156">
        <v>0</v>
      </c>
      <c r="I156">
        <v>50</v>
      </c>
      <c r="J156">
        <v>360</v>
      </c>
      <c r="K156">
        <v>1</v>
      </c>
      <c r="L156" t="s">
        <v>5</v>
      </c>
      <c r="M156" t="s">
        <v>39</v>
      </c>
      <c r="N156" s="6">
        <f t="shared" ca="1" si="2"/>
        <v>43477</v>
      </c>
    </row>
    <row r="157" spans="1:14">
      <c r="A157" t="s">
        <v>195</v>
      </c>
      <c r="B157" t="s">
        <v>23</v>
      </c>
      <c r="C157" t="s">
        <v>10</v>
      </c>
      <c r="D157">
        <v>3</v>
      </c>
      <c r="E157" t="s">
        <v>7</v>
      </c>
      <c r="F157" t="s">
        <v>9</v>
      </c>
      <c r="G157">
        <v>39999</v>
      </c>
      <c r="H157">
        <v>0</v>
      </c>
      <c r="I157">
        <v>600</v>
      </c>
      <c r="J157">
        <v>180</v>
      </c>
      <c r="K157">
        <v>0</v>
      </c>
      <c r="L157" t="s">
        <v>4</v>
      </c>
      <c r="M157" t="s">
        <v>39</v>
      </c>
      <c r="N157" s="6">
        <f t="shared" ca="1" si="2"/>
        <v>43618</v>
      </c>
    </row>
    <row r="158" spans="1:14">
      <c r="A158" t="s">
        <v>196</v>
      </c>
      <c r="B158" t="s">
        <v>23</v>
      </c>
      <c r="C158" t="s">
        <v>10</v>
      </c>
      <c r="D158">
        <v>1</v>
      </c>
      <c r="E158" t="s">
        <v>7</v>
      </c>
      <c r="F158" t="s">
        <v>9</v>
      </c>
      <c r="G158">
        <v>6000</v>
      </c>
      <c r="H158">
        <v>0</v>
      </c>
      <c r="I158">
        <v>160000</v>
      </c>
      <c r="J158">
        <v>360</v>
      </c>
      <c r="L158" t="s">
        <v>3</v>
      </c>
      <c r="M158" t="s">
        <v>39</v>
      </c>
      <c r="N158" s="6">
        <f t="shared" ca="1" si="2"/>
        <v>43771</v>
      </c>
    </row>
    <row r="159" spans="1:14">
      <c r="A159" t="s">
        <v>197</v>
      </c>
      <c r="B159" t="s">
        <v>23</v>
      </c>
      <c r="C159" t="s">
        <v>10</v>
      </c>
      <c r="D159">
        <v>1</v>
      </c>
      <c r="E159" t="s">
        <v>7</v>
      </c>
      <c r="F159" t="s">
        <v>9</v>
      </c>
      <c r="G159">
        <v>9538</v>
      </c>
      <c r="H159">
        <v>0</v>
      </c>
      <c r="I159">
        <v>187</v>
      </c>
      <c r="J159">
        <v>360</v>
      </c>
      <c r="K159">
        <v>1</v>
      </c>
      <c r="L159" t="s">
        <v>5</v>
      </c>
      <c r="M159" t="s">
        <v>39</v>
      </c>
      <c r="N159" s="6">
        <f t="shared" ca="1" si="2"/>
        <v>43657</v>
      </c>
    </row>
    <row r="160" spans="1:14">
      <c r="A160" t="s">
        <v>198</v>
      </c>
      <c r="B160" t="s">
        <v>23</v>
      </c>
      <c r="C160" t="s">
        <v>9</v>
      </c>
      <c r="D160">
        <v>0</v>
      </c>
      <c r="E160" t="s">
        <v>7</v>
      </c>
      <c r="F160" t="s">
        <v>20</v>
      </c>
      <c r="G160">
        <v>2980</v>
      </c>
      <c r="H160">
        <v>2083</v>
      </c>
      <c r="I160">
        <v>120</v>
      </c>
      <c r="J160">
        <v>360</v>
      </c>
      <c r="K160">
        <v>1</v>
      </c>
      <c r="L160" t="s">
        <v>3</v>
      </c>
      <c r="M160" t="s">
        <v>39</v>
      </c>
      <c r="N160" s="6">
        <f t="shared" ca="1" si="2"/>
        <v>43766</v>
      </c>
    </row>
    <row r="161" spans="1:14">
      <c r="A161" t="s">
        <v>199</v>
      </c>
      <c r="B161" t="s">
        <v>23</v>
      </c>
      <c r="C161" t="s">
        <v>10</v>
      </c>
      <c r="D161">
        <v>0</v>
      </c>
      <c r="E161" t="s">
        <v>7</v>
      </c>
      <c r="F161" t="s">
        <v>9</v>
      </c>
      <c r="G161">
        <v>4583</v>
      </c>
      <c r="H161">
        <v>5625</v>
      </c>
      <c r="I161">
        <v>255</v>
      </c>
      <c r="J161">
        <v>360</v>
      </c>
      <c r="K161">
        <v>1</v>
      </c>
      <c r="L161" t="s">
        <v>4</v>
      </c>
      <c r="M161" t="s">
        <v>39</v>
      </c>
      <c r="N161" s="6">
        <f t="shared" ca="1" si="2"/>
        <v>43605</v>
      </c>
    </row>
    <row r="162" spans="1:14">
      <c r="A162" t="s">
        <v>200</v>
      </c>
      <c r="B162" t="s">
        <v>23</v>
      </c>
      <c r="C162" t="s">
        <v>10</v>
      </c>
      <c r="D162">
        <v>0</v>
      </c>
      <c r="E162" t="s">
        <v>11</v>
      </c>
      <c r="F162" t="s">
        <v>9</v>
      </c>
      <c r="G162">
        <v>1863</v>
      </c>
      <c r="H162">
        <v>1041</v>
      </c>
      <c r="I162">
        <v>98</v>
      </c>
      <c r="J162">
        <v>360</v>
      </c>
      <c r="K162">
        <v>1</v>
      </c>
      <c r="L162" t="s">
        <v>4</v>
      </c>
      <c r="M162" t="s">
        <v>39</v>
      </c>
      <c r="N162" s="6">
        <f t="shared" ca="1" si="2"/>
        <v>43662</v>
      </c>
    </row>
    <row r="163" spans="1:14">
      <c r="A163" t="s">
        <v>201</v>
      </c>
      <c r="B163" t="s">
        <v>23</v>
      </c>
      <c r="C163" t="s">
        <v>10</v>
      </c>
      <c r="D163">
        <v>0</v>
      </c>
      <c r="E163" t="s">
        <v>7</v>
      </c>
      <c r="F163" t="s">
        <v>9</v>
      </c>
      <c r="G163">
        <v>7933</v>
      </c>
      <c r="H163">
        <v>0</v>
      </c>
      <c r="I163">
        <v>2750</v>
      </c>
      <c r="J163">
        <v>360</v>
      </c>
      <c r="K163">
        <v>1</v>
      </c>
      <c r="L163" t="s">
        <v>5</v>
      </c>
      <c r="M163" t="s">
        <v>41</v>
      </c>
      <c r="N163" s="6">
        <f t="shared" ca="1" si="2"/>
        <v>43601</v>
      </c>
    </row>
    <row r="164" spans="1:14">
      <c r="A164" t="s">
        <v>202</v>
      </c>
      <c r="B164" t="s">
        <v>23</v>
      </c>
      <c r="C164" t="s">
        <v>10</v>
      </c>
      <c r="D164">
        <v>1</v>
      </c>
      <c r="E164" t="s">
        <v>7</v>
      </c>
      <c r="F164" t="s">
        <v>9</v>
      </c>
      <c r="G164">
        <v>3089</v>
      </c>
      <c r="H164">
        <v>1280</v>
      </c>
      <c r="I164">
        <v>121</v>
      </c>
      <c r="J164">
        <v>360</v>
      </c>
      <c r="K164">
        <v>0</v>
      </c>
      <c r="L164" t="s">
        <v>4</v>
      </c>
      <c r="M164" t="s">
        <v>41</v>
      </c>
      <c r="N164" s="6">
        <f t="shared" ca="1" si="2"/>
        <v>43823</v>
      </c>
    </row>
    <row r="165" spans="1:14">
      <c r="A165" t="s">
        <v>203</v>
      </c>
      <c r="B165" t="s">
        <v>23</v>
      </c>
      <c r="C165" t="s">
        <v>10</v>
      </c>
      <c r="D165">
        <v>2</v>
      </c>
      <c r="E165" t="s">
        <v>7</v>
      </c>
      <c r="F165" t="s">
        <v>9</v>
      </c>
      <c r="G165">
        <v>4167</v>
      </c>
      <c r="H165">
        <v>1447</v>
      </c>
      <c r="I165">
        <v>158</v>
      </c>
      <c r="J165">
        <v>360</v>
      </c>
      <c r="K165">
        <v>1</v>
      </c>
      <c r="L165" t="s">
        <v>3</v>
      </c>
      <c r="M165" t="s">
        <v>39</v>
      </c>
      <c r="N165" s="6">
        <f t="shared" ca="1" si="2"/>
        <v>43723</v>
      </c>
    </row>
    <row r="166" spans="1:14">
      <c r="A166" t="s">
        <v>204</v>
      </c>
      <c r="B166" t="s">
        <v>23</v>
      </c>
      <c r="C166" t="s">
        <v>10</v>
      </c>
      <c r="D166">
        <v>0</v>
      </c>
      <c r="E166" t="s">
        <v>7</v>
      </c>
      <c r="F166" t="s">
        <v>9</v>
      </c>
      <c r="G166">
        <v>9323</v>
      </c>
      <c r="H166">
        <v>0</v>
      </c>
      <c r="I166">
        <v>75</v>
      </c>
      <c r="J166">
        <v>180</v>
      </c>
      <c r="K166">
        <v>1</v>
      </c>
      <c r="L166" t="s">
        <v>5</v>
      </c>
      <c r="M166" t="s">
        <v>39</v>
      </c>
      <c r="N166" s="6">
        <f t="shared" ca="1" si="2"/>
        <v>43602</v>
      </c>
    </row>
    <row r="167" spans="1:14">
      <c r="A167" t="s">
        <v>205</v>
      </c>
      <c r="B167" t="s">
        <v>23</v>
      </c>
      <c r="C167" t="s">
        <v>10</v>
      </c>
      <c r="D167">
        <v>0</v>
      </c>
      <c r="E167" t="s">
        <v>7</v>
      </c>
      <c r="F167" t="s">
        <v>9</v>
      </c>
      <c r="G167">
        <v>3707</v>
      </c>
      <c r="H167">
        <v>3166</v>
      </c>
      <c r="I167">
        <v>18200</v>
      </c>
      <c r="K167">
        <v>1</v>
      </c>
      <c r="L167" t="s">
        <v>3</v>
      </c>
      <c r="M167" t="s">
        <v>39</v>
      </c>
      <c r="N167" s="6">
        <f t="shared" ca="1" si="2"/>
        <v>43746</v>
      </c>
    </row>
    <row r="168" spans="1:14">
      <c r="A168" t="s">
        <v>206</v>
      </c>
      <c r="B168" t="s">
        <v>8</v>
      </c>
      <c r="C168" t="s">
        <v>10</v>
      </c>
      <c r="D168">
        <v>0</v>
      </c>
      <c r="E168" t="s">
        <v>7</v>
      </c>
      <c r="F168" t="s">
        <v>9</v>
      </c>
      <c r="G168">
        <v>4583</v>
      </c>
      <c r="H168">
        <v>0</v>
      </c>
      <c r="I168">
        <v>112</v>
      </c>
      <c r="J168">
        <v>360</v>
      </c>
      <c r="K168">
        <v>1</v>
      </c>
      <c r="L168" t="s">
        <v>3</v>
      </c>
      <c r="M168" t="s">
        <v>41</v>
      </c>
      <c r="N168" s="6">
        <f t="shared" ca="1" si="2"/>
        <v>43758</v>
      </c>
    </row>
    <row r="169" spans="1:14">
      <c r="A169" t="s">
        <v>207</v>
      </c>
      <c r="B169" t="s">
        <v>23</v>
      </c>
      <c r="C169" t="s">
        <v>10</v>
      </c>
      <c r="D169">
        <v>0</v>
      </c>
      <c r="E169" t="s">
        <v>7</v>
      </c>
      <c r="F169" t="s">
        <v>9</v>
      </c>
      <c r="G169">
        <v>2439</v>
      </c>
      <c r="H169">
        <v>3333</v>
      </c>
      <c r="I169">
        <v>129</v>
      </c>
      <c r="J169">
        <v>360</v>
      </c>
      <c r="K169">
        <v>1</v>
      </c>
      <c r="L169" t="s">
        <v>3</v>
      </c>
      <c r="M169" t="s">
        <v>39</v>
      </c>
      <c r="N169" s="6">
        <f t="shared" ca="1" si="2"/>
        <v>43543</v>
      </c>
    </row>
    <row r="170" spans="1:14">
      <c r="A170" t="s">
        <v>208</v>
      </c>
      <c r="B170" t="s">
        <v>23</v>
      </c>
      <c r="C170" t="s">
        <v>9</v>
      </c>
      <c r="D170">
        <v>0</v>
      </c>
      <c r="E170" t="s">
        <v>7</v>
      </c>
      <c r="F170" t="s">
        <v>9</v>
      </c>
      <c r="G170">
        <v>2237</v>
      </c>
      <c r="H170">
        <v>0</v>
      </c>
      <c r="I170">
        <v>63</v>
      </c>
      <c r="J170">
        <v>480</v>
      </c>
      <c r="K170">
        <v>0</v>
      </c>
      <c r="L170" t="s">
        <v>4</v>
      </c>
      <c r="M170" t="s">
        <v>41</v>
      </c>
      <c r="N170" s="6">
        <f t="shared" ca="1" si="2"/>
        <v>43589</v>
      </c>
    </row>
    <row r="171" spans="1:14">
      <c r="A171" t="s">
        <v>209</v>
      </c>
      <c r="B171" t="s">
        <v>23</v>
      </c>
      <c r="C171" t="s">
        <v>10</v>
      </c>
      <c r="D171">
        <v>2</v>
      </c>
      <c r="E171" t="s">
        <v>7</v>
      </c>
      <c r="F171" t="s">
        <v>9</v>
      </c>
      <c r="G171">
        <v>8000</v>
      </c>
      <c r="H171">
        <v>0</v>
      </c>
      <c r="I171">
        <v>200</v>
      </c>
      <c r="J171">
        <v>360</v>
      </c>
      <c r="K171">
        <v>1</v>
      </c>
      <c r="L171" t="s">
        <v>4</v>
      </c>
      <c r="M171" t="s">
        <v>39</v>
      </c>
      <c r="N171" s="6">
        <f t="shared" ca="1" si="2"/>
        <v>43614</v>
      </c>
    </row>
    <row r="172" spans="1:14">
      <c r="A172" t="s">
        <v>210</v>
      </c>
      <c r="B172" t="s">
        <v>23</v>
      </c>
      <c r="C172" t="s">
        <v>10</v>
      </c>
      <c r="D172">
        <v>0</v>
      </c>
      <c r="E172" t="s">
        <v>11</v>
      </c>
      <c r="F172" t="s">
        <v>20</v>
      </c>
      <c r="G172">
        <v>1820</v>
      </c>
      <c r="H172">
        <v>1769</v>
      </c>
      <c r="I172">
        <v>95</v>
      </c>
      <c r="J172">
        <v>360</v>
      </c>
      <c r="K172">
        <v>1</v>
      </c>
      <c r="L172" t="s">
        <v>3</v>
      </c>
      <c r="M172" t="s">
        <v>39</v>
      </c>
      <c r="N172" s="6">
        <f t="shared" ca="1" si="2"/>
        <v>43595</v>
      </c>
    </row>
    <row r="173" spans="1:14">
      <c r="A173" t="s">
        <v>211</v>
      </c>
      <c r="B173" t="s">
        <v>20</v>
      </c>
      <c r="C173" t="s">
        <v>10</v>
      </c>
      <c r="D173">
        <v>3</v>
      </c>
      <c r="E173" t="s">
        <v>7</v>
      </c>
      <c r="F173" t="s">
        <v>9</v>
      </c>
      <c r="G173">
        <v>51763</v>
      </c>
      <c r="H173">
        <v>0</v>
      </c>
      <c r="I173">
        <v>700</v>
      </c>
      <c r="J173">
        <v>300</v>
      </c>
      <c r="K173">
        <v>1</v>
      </c>
      <c r="L173" t="s">
        <v>5</v>
      </c>
      <c r="M173" t="s">
        <v>39</v>
      </c>
      <c r="N173" s="6">
        <f t="shared" ca="1" si="2"/>
        <v>43721</v>
      </c>
    </row>
    <row r="174" spans="1:14">
      <c r="A174" t="s">
        <v>212</v>
      </c>
      <c r="B174" t="s">
        <v>23</v>
      </c>
      <c r="C174" t="s">
        <v>10</v>
      </c>
      <c r="D174">
        <v>3</v>
      </c>
      <c r="E174" t="s">
        <v>11</v>
      </c>
      <c r="F174" t="s">
        <v>9</v>
      </c>
      <c r="G174">
        <v>3522</v>
      </c>
      <c r="H174">
        <v>0</v>
      </c>
      <c r="I174">
        <v>8100</v>
      </c>
      <c r="J174">
        <v>180</v>
      </c>
      <c r="K174">
        <v>1</v>
      </c>
      <c r="L174" t="s">
        <v>3</v>
      </c>
      <c r="M174" t="s">
        <v>41</v>
      </c>
      <c r="N174" s="6">
        <f t="shared" ca="1" si="2"/>
        <v>43506</v>
      </c>
    </row>
    <row r="175" spans="1:14">
      <c r="A175" t="s">
        <v>213</v>
      </c>
      <c r="B175" t="s">
        <v>23</v>
      </c>
      <c r="C175" t="s">
        <v>10</v>
      </c>
      <c r="D175">
        <v>0</v>
      </c>
      <c r="E175" t="s">
        <v>7</v>
      </c>
      <c r="F175" t="s">
        <v>9</v>
      </c>
      <c r="G175">
        <v>5708</v>
      </c>
      <c r="H175">
        <v>5625</v>
      </c>
      <c r="I175">
        <v>187</v>
      </c>
      <c r="J175">
        <v>360</v>
      </c>
      <c r="K175">
        <v>1</v>
      </c>
      <c r="L175" t="s">
        <v>4</v>
      </c>
      <c r="M175" t="s">
        <v>39</v>
      </c>
      <c r="N175" s="6">
        <f t="shared" ca="1" si="2"/>
        <v>43632</v>
      </c>
    </row>
    <row r="176" spans="1:14">
      <c r="A176" t="s">
        <v>214</v>
      </c>
      <c r="B176" t="s">
        <v>23</v>
      </c>
      <c r="C176" t="s">
        <v>10</v>
      </c>
      <c r="D176">
        <v>0</v>
      </c>
      <c r="E176" t="s">
        <v>11</v>
      </c>
      <c r="F176" t="s">
        <v>10</v>
      </c>
      <c r="G176">
        <v>4344</v>
      </c>
      <c r="H176">
        <v>736</v>
      </c>
      <c r="I176">
        <v>87</v>
      </c>
      <c r="J176">
        <v>360</v>
      </c>
      <c r="K176">
        <v>1</v>
      </c>
      <c r="L176" t="s">
        <v>4</v>
      </c>
      <c r="M176" t="s">
        <v>41</v>
      </c>
      <c r="N176" s="6">
        <f t="shared" ca="1" si="2"/>
        <v>43733</v>
      </c>
    </row>
    <row r="177" spans="1:14">
      <c r="A177" t="s">
        <v>215</v>
      </c>
      <c r="B177" t="s">
        <v>23</v>
      </c>
      <c r="C177" t="s">
        <v>10</v>
      </c>
      <c r="D177">
        <v>0</v>
      </c>
      <c r="E177" t="s">
        <v>7</v>
      </c>
      <c r="F177" t="s">
        <v>9</v>
      </c>
      <c r="G177">
        <v>3497</v>
      </c>
      <c r="H177">
        <v>1964</v>
      </c>
      <c r="I177">
        <v>116</v>
      </c>
      <c r="J177">
        <v>360</v>
      </c>
      <c r="K177">
        <v>1</v>
      </c>
      <c r="L177" t="s">
        <v>3</v>
      </c>
      <c r="M177" t="s">
        <v>39</v>
      </c>
      <c r="N177" s="6">
        <f t="shared" ca="1" si="2"/>
        <v>43829</v>
      </c>
    </row>
    <row r="178" spans="1:14">
      <c r="A178" t="s">
        <v>216</v>
      </c>
      <c r="B178" t="s">
        <v>23</v>
      </c>
      <c r="C178" t="s">
        <v>10</v>
      </c>
      <c r="D178">
        <v>2</v>
      </c>
      <c r="E178" t="s">
        <v>7</v>
      </c>
      <c r="F178" t="s">
        <v>9</v>
      </c>
      <c r="G178">
        <v>2045</v>
      </c>
      <c r="H178">
        <v>1619</v>
      </c>
      <c r="I178">
        <v>101</v>
      </c>
      <c r="J178">
        <v>360</v>
      </c>
      <c r="K178">
        <v>1</v>
      </c>
      <c r="L178" t="s">
        <v>3</v>
      </c>
      <c r="M178" t="s">
        <v>39</v>
      </c>
      <c r="N178" s="6">
        <f t="shared" ca="1" si="2"/>
        <v>43805</v>
      </c>
    </row>
    <row r="179" spans="1:14">
      <c r="A179" t="s">
        <v>217</v>
      </c>
      <c r="B179" t="s">
        <v>23</v>
      </c>
      <c r="C179" t="s">
        <v>10</v>
      </c>
      <c r="D179">
        <v>3</v>
      </c>
      <c r="E179" t="s">
        <v>7</v>
      </c>
      <c r="F179" t="s">
        <v>9</v>
      </c>
      <c r="G179">
        <v>5516</v>
      </c>
      <c r="H179">
        <v>11300</v>
      </c>
      <c r="I179">
        <v>495</v>
      </c>
      <c r="J179">
        <v>360</v>
      </c>
      <c r="K179">
        <v>0</v>
      </c>
      <c r="L179" t="s">
        <v>4</v>
      </c>
      <c r="M179" t="s">
        <v>41</v>
      </c>
      <c r="N179" s="6">
        <f t="shared" ca="1" si="2"/>
        <v>43689</v>
      </c>
    </row>
    <row r="180" spans="1:14">
      <c r="A180" t="s">
        <v>218</v>
      </c>
      <c r="B180" t="s">
        <v>23</v>
      </c>
      <c r="C180" t="s">
        <v>10</v>
      </c>
      <c r="D180">
        <v>1</v>
      </c>
      <c r="E180" t="s">
        <v>7</v>
      </c>
      <c r="F180" t="s">
        <v>9</v>
      </c>
      <c r="G180">
        <v>3750</v>
      </c>
      <c r="H180">
        <v>0</v>
      </c>
      <c r="I180">
        <v>116</v>
      </c>
      <c r="J180">
        <v>360</v>
      </c>
      <c r="K180">
        <v>1</v>
      </c>
      <c r="L180" t="s">
        <v>4</v>
      </c>
      <c r="M180" t="s">
        <v>39</v>
      </c>
      <c r="N180" s="6">
        <f t="shared" ca="1" si="2"/>
        <v>43656</v>
      </c>
    </row>
    <row r="181" spans="1:14">
      <c r="A181" t="s">
        <v>219</v>
      </c>
      <c r="B181" t="s">
        <v>23</v>
      </c>
      <c r="C181" t="s">
        <v>9</v>
      </c>
      <c r="D181">
        <v>0</v>
      </c>
      <c r="E181" t="s">
        <v>11</v>
      </c>
      <c r="F181" t="s">
        <v>9</v>
      </c>
      <c r="G181">
        <v>2333</v>
      </c>
      <c r="H181">
        <v>1451</v>
      </c>
      <c r="I181">
        <v>102</v>
      </c>
      <c r="J181">
        <v>480</v>
      </c>
      <c r="K181">
        <v>0</v>
      </c>
      <c r="L181" t="s">
        <v>5</v>
      </c>
      <c r="M181" t="s">
        <v>41</v>
      </c>
      <c r="N181" s="6">
        <f t="shared" ca="1" si="2"/>
        <v>43774</v>
      </c>
    </row>
    <row r="182" spans="1:14">
      <c r="A182" t="s">
        <v>220</v>
      </c>
      <c r="B182" t="s">
        <v>23</v>
      </c>
      <c r="C182" t="s">
        <v>10</v>
      </c>
      <c r="D182">
        <v>1</v>
      </c>
      <c r="E182" t="s">
        <v>7</v>
      </c>
      <c r="F182" t="s">
        <v>9</v>
      </c>
      <c r="G182">
        <v>6400</v>
      </c>
      <c r="H182">
        <v>7250</v>
      </c>
      <c r="I182">
        <v>180</v>
      </c>
      <c r="J182">
        <v>360</v>
      </c>
      <c r="K182">
        <v>0</v>
      </c>
      <c r="L182" t="s">
        <v>5</v>
      </c>
      <c r="M182" t="s">
        <v>41</v>
      </c>
      <c r="N182" s="6">
        <f t="shared" ca="1" si="2"/>
        <v>43712</v>
      </c>
    </row>
    <row r="183" spans="1:14">
      <c r="A183" t="s">
        <v>221</v>
      </c>
      <c r="B183" t="s">
        <v>23</v>
      </c>
      <c r="C183" t="s">
        <v>9</v>
      </c>
      <c r="D183">
        <v>0</v>
      </c>
      <c r="E183" t="s">
        <v>7</v>
      </c>
      <c r="F183" t="s">
        <v>9</v>
      </c>
      <c r="G183">
        <v>1916</v>
      </c>
      <c r="H183">
        <v>5063</v>
      </c>
      <c r="I183">
        <v>67</v>
      </c>
      <c r="J183">
        <v>360</v>
      </c>
      <c r="L183" t="s">
        <v>3</v>
      </c>
      <c r="M183" t="s">
        <v>41</v>
      </c>
      <c r="N183" s="6">
        <f t="shared" ca="1" si="2"/>
        <v>43489</v>
      </c>
    </row>
    <row r="184" spans="1:14">
      <c r="A184" t="s">
        <v>222</v>
      </c>
      <c r="B184" t="s">
        <v>23</v>
      </c>
      <c r="C184" t="s">
        <v>10</v>
      </c>
      <c r="D184">
        <v>0</v>
      </c>
      <c r="E184" t="s">
        <v>7</v>
      </c>
      <c r="F184" t="s">
        <v>9</v>
      </c>
      <c r="G184">
        <v>4600</v>
      </c>
      <c r="H184">
        <v>0</v>
      </c>
      <c r="I184">
        <v>73</v>
      </c>
      <c r="J184">
        <v>180</v>
      </c>
      <c r="K184">
        <v>1</v>
      </c>
      <c r="L184" t="s">
        <v>4</v>
      </c>
      <c r="M184" t="s">
        <v>39</v>
      </c>
      <c r="N184" s="6">
        <f t="shared" ca="1" si="2"/>
        <v>43653</v>
      </c>
    </row>
    <row r="185" spans="1:14">
      <c r="A185" t="s">
        <v>223</v>
      </c>
      <c r="B185" t="s">
        <v>23</v>
      </c>
      <c r="C185" t="s">
        <v>10</v>
      </c>
      <c r="D185">
        <v>1</v>
      </c>
      <c r="E185" t="s">
        <v>7</v>
      </c>
      <c r="F185" t="s">
        <v>9</v>
      </c>
      <c r="G185">
        <v>33846</v>
      </c>
      <c r="H185">
        <v>0</v>
      </c>
      <c r="I185">
        <v>260</v>
      </c>
      <c r="J185">
        <v>360</v>
      </c>
      <c r="K185">
        <v>1</v>
      </c>
      <c r="L185" t="s">
        <v>4</v>
      </c>
      <c r="M185" t="s">
        <v>41</v>
      </c>
      <c r="N185" s="6">
        <f t="shared" ca="1" si="2"/>
        <v>43470</v>
      </c>
    </row>
    <row r="186" spans="1:14">
      <c r="A186" t="s">
        <v>224</v>
      </c>
      <c r="B186" t="s">
        <v>8</v>
      </c>
      <c r="C186" t="s">
        <v>10</v>
      </c>
      <c r="D186">
        <v>0</v>
      </c>
      <c r="E186" t="s">
        <v>7</v>
      </c>
      <c r="F186" t="s">
        <v>9</v>
      </c>
      <c r="G186">
        <v>3625</v>
      </c>
      <c r="H186">
        <v>0</v>
      </c>
      <c r="I186">
        <v>108</v>
      </c>
      <c r="J186">
        <v>360</v>
      </c>
      <c r="K186">
        <v>1</v>
      </c>
      <c r="L186" t="s">
        <v>4</v>
      </c>
      <c r="M186" t="s">
        <v>39</v>
      </c>
      <c r="N186" s="6">
        <f t="shared" ca="1" si="2"/>
        <v>43547</v>
      </c>
    </row>
    <row r="187" spans="1:14">
      <c r="A187" t="s">
        <v>225</v>
      </c>
      <c r="B187" t="s">
        <v>23</v>
      </c>
      <c r="C187" t="s">
        <v>10</v>
      </c>
      <c r="D187">
        <v>0</v>
      </c>
      <c r="E187" t="s">
        <v>7</v>
      </c>
      <c r="F187" t="s">
        <v>10</v>
      </c>
      <c r="G187">
        <v>39147</v>
      </c>
      <c r="H187">
        <v>4750</v>
      </c>
      <c r="I187">
        <v>120</v>
      </c>
      <c r="J187">
        <v>360</v>
      </c>
      <c r="K187">
        <v>1</v>
      </c>
      <c r="L187" t="s">
        <v>4</v>
      </c>
      <c r="M187" t="s">
        <v>39</v>
      </c>
      <c r="N187" s="6">
        <f t="shared" ca="1" si="2"/>
        <v>43581</v>
      </c>
    </row>
    <row r="188" spans="1:14">
      <c r="A188" t="s">
        <v>226</v>
      </c>
      <c r="B188" t="s">
        <v>23</v>
      </c>
      <c r="C188" t="s">
        <v>10</v>
      </c>
      <c r="D188">
        <v>1</v>
      </c>
      <c r="E188" t="s">
        <v>7</v>
      </c>
      <c r="F188" t="s">
        <v>10</v>
      </c>
      <c r="G188">
        <v>2178</v>
      </c>
      <c r="H188">
        <v>0</v>
      </c>
      <c r="I188">
        <v>66</v>
      </c>
      <c r="J188">
        <v>300</v>
      </c>
      <c r="K188">
        <v>0</v>
      </c>
      <c r="L188" t="s">
        <v>3</v>
      </c>
      <c r="M188" t="s">
        <v>41</v>
      </c>
      <c r="N188" s="6">
        <f t="shared" ca="1" si="2"/>
        <v>43685</v>
      </c>
    </row>
    <row r="189" spans="1:14">
      <c r="A189" t="s">
        <v>227</v>
      </c>
      <c r="B189" t="s">
        <v>23</v>
      </c>
      <c r="C189" t="s">
        <v>10</v>
      </c>
      <c r="D189">
        <v>0</v>
      </c>
      <c r="E189" t="s">
        <v>7</v>
      </c>
      <c r="F189" t="s">
        <v>9</v>
      </c>
      <c r="G189">
        <v>2383</v>
      </c>
      <c r="H189">
        <v>2138</v>
      </c>
      <c r="I189">
        <v>58</v>
      </c>
      <c r="J189">
        <v>360</v>
      </c>
      <c r="L189" t="s">
        <v>3</v>
      </c>
      <c r="M189" t="s">
        <v>39</v>
      </c>
      <c r="N189" s="6">
        <f t="shared" ca="1" si="2"/>
        <v>43721</v>
      </c>
    </row>
    <row r="190" spans="1:14">
      <c r="A190" t="s">
        <v>228</v>
      </c>
      <c r="B190" t="s">
        <v>20</v>
      </c>
      <c r="C190" t="s">
        <v>10</v>
      </c>
      <c r="D190">
        <v>0</v>
      </c>
      <c r="E190" t="s">
        <v>7</v>
      </c>
      <c r="F190" t="s">
        <v>10</v>
      </c>
      <c r="G190">
        <v>674</v>
      </c>
      <c r="H190">
        <v>5296</v>
      </c>
      <c r="I190">
        <v>168</v>
      </c>
      <c r="J190">
        <v>360</v>
      </c>
      <c r="K190">
        <v>1</v>
      </c>
      <c r="L190" t="s">
        <v>3</v>
      </c>
      <c r="M190" t="s">
        <v>39</v>
      </c>
      <c r="N190" s="6">
        <f t="shared" ca="1" si="2"/>
        <v>43596</v>
      </c>
    </row>
    <row r="191" spans="1:14">
      <c r="A191" t="s">
        <v>229</v>
      </c>
      <c r="B191" t="s">
        <v>23</v>
      </c>
      <c r="C191" t="s">
        <v>10</v>
      </c>
      <c r="D191">
        <v>0</v>
      </c>
      <c r="E191" t="s">
        <v>7</v>
      </c>
      <c r="F191" t="s">
        <v>9</v>
      </c>
      <c r="G191">
        <v>9328</v>
      </c>
      <c r="H191">
        <v>0</v>
      </c>
      <c r="I191">
        <v>188000</v>
      </c>
      <c r="J191">
        <v>180</v>
      </c>
      <c r="K191">
        <v>1</v>
      </c>
      <c r="L191" t="s">
        <v>3</v>
      </c>
      <c r="M191" t="s">
        <v>39</v>
      </c>
      <c r="N191" s="6">
        <f t="shared" ca="1" si="2"/>
        <v>43529</v>
      </c>
    </row>
    <row r="192" spans="1:14">
      <c r="A192" t="s">
        <v>230</v>
      </c>
      <c r="B192" t="s">
        <v>23</v>
      </c>
      <c r="C192" t="s">
        <v>9</v>
      </c>
      <c r="D192">
        <v>0</v>
      </c>
      <c r="E192" t="s">
        <v>11</v>
      </c>
      <c r="F192" t="s">
        <v>9</v>
      </c>
      <c r="G192">
        <v>4885</v>
      </c>
      <c r="H192">
        <v>0</v>
      </c>
      <c r="I192">
        <v>48</v>
      </c>
      <c r="J192">
        <v>360</v>
      </c>
      <c r="K192">
        <v>1</v>
      </c>
      <c r="L192" t="s">
        <v>3</v>
      </c>
      <c r="M192" t="s">
        <v>39</v>
      </c>
      <c r="N192" s="6">
        <f t="shared" ca="1" si="2"/>
        <v>43717</v>
      </c>
    </row>
    <row r="193" spans="1:14">
      <c r="A193" t="s">
        <v>231</v>
      </c>
      <c r="B193" t="s">
        <v>23</v>
      </c>
      <c r="C193" t="s">
        <v>9</v>
      </c>
      <c r="D193">
        <v>0</v>
      </c>
      <c r="E193" t="s">
        <v>7</v>
      </c>
      <c r="F193" t="s">
        <v>9</v>
      </c>
      <c r="G193">
        <v>12000</v>
      </c>
      <c r="H193">
        <v>0</v>
      </c>
      <c r="I193">
        <v>164</v>
      </c>
      <c r="J193">
        <v>360</v>
      </c>
      <c r="K193">
        <v>1</v>
      </c>
      <c r="L193" t="s">
        <v>4</v>
      </c>
      <c r="M193" t="s">
        <v>41</v>
      </c>
      <c r="N193" s="6">
        <f t="shared" ca="1" si="2"/>
        <v>43581</v>
      </c>
    </row>
    <row r="194" spans="1:14">
      <c r="A194" t="s">
        <v>232</v>
      </c>
      <c r="B194" t="s">
        <v>23</v>
      </c>
      <c r="C194" t="s">
        <v>10</v>
      </c>
      <c r="D194">
        <v>0</v>
      </c>
      <c r="E194" t="s">
        <v>11</v>
      </c>
      <c r="F194" t="s">
        <v>9</v>
      </c>
      <c r="G194">
        <v>6033</v>
      </c>
      <c r="H194">
        <v>0</v>
      </c>
      <c r="I194">
        <v>160</v>
      </c>
      <c r="J194">
        <v>360</v>
      </c>
      <c r="K194">
        <v>1</v>
      </c>
      <c r="L194" t="s">
        <v>5</v>
      </c>
      <c r="M194" t="s">
        <v>41</v>
      </c>
      <c r="N194" s="6">
        <f t="shared" ref="N194:N257" ca="1" si="3">RANDBETWEEN(DATE(2019,1,1),DATE(2019,12,31))</f>
        <v>43677</v>
      </c>
    </row>
    <row r="195" spans="1:14">
      <c r="A195" t="s">
        <v>233</v>
      </c>
      <c r="B195" t="s">
        <v>23</v>
      </c>
      <c r="C195" t="s">
        <v>9</v>
      </c>
      <c r="D195">
        <v>0</v>
      </c>
      <c r="E195" t="s">
        <v>7</v>
      </c>
      <c r="F195" t="s">
        <v>9</v>
      </c>
      <c r="G195">
        <v>3858</v>
      </c>
      <c r="H195">
        <v>0</v>
      </c>
      <c r="I195">
        <v>76</v>
      </c>
      <c r="J195">
        <v>360</v>
      </c>
      <c r="K195">
        <v>1</v>
      </c>
      <c r="L195" t="s">
        <v>4</v>
      </c>
      <c r="M195" t="s">
        <v>39</v>
      </c>
      <c r="N195" s="6">
        <f t="shared" ca="1" si="3"/>
        <v>43816</v>
      </c>
    </row>
    <row r="196" spans="1:14">
      <c r="A196" t="s">
        <v>234</v>
      </c>
      <c r="B196" t="s">
        <v>23</v>
      </c>
      <c r="C196" t="s">
        <v>9</v>
      </c>
      <c r="D196">
        <v>0</v>
      </c>
      <c r="E196" t="s">
        <v>7</v>
      </c>
      <c r="F196" t="s">
        <v>9</v>
      </c>
      <c r="G196">
        <v>4191</v>
      </c>
      <c r="H196">
        <v>0</v>
      </c>
      <c r="I196">
        <v>120</v>
      </c>
      <c r="J196">
        <v>360</v>
      </c>
      <c r="K196">
        <v>1</v>
      </c>
      <c r="L196" t="s">
        <v>3</v>
      </c>
      <c r="M196" t="s">
        <v>39</v>
      </c>
      <c r="N196" s="6">
        <f t="shared" ca="1" si="3"/>
        <v>43749</v>
      </c>
    </row>
    <row r="197" spans="1:14">
      <c r="A197" t="s">
        <v>235</v>
      </c>
      <c r="B197" t="s">
        <v>23</v>
      </c>
      <c r="C197" t="s">
        <v>10</v>
      </c>
      <c r="D197">
        <v>1</v>
      </c>
      <c r="E197" t="s">
        <v>7</v>
      </c>
      <c r="F197" t="s">
        <v>9</v>
      </c>
      <c r="G197">
        <v>3125</v>
      </c>
      <c r="H197">
        <v>2583</v>
      </c>
      <c r="I197">
        <v>170</v>
      </c>
      <c r="J197">
        <v>360</v>
      </c>
      <c r="K197">
        <v>1</v>
      </c>
      <c r="L197" t="s">
        <v>4</v>
      </c>
      <c r="M197" t="s">
        <v>41</v>
      </c>
      <c r="N197" s="6">
        <f t="shared" ca="1" si="3"/>
        <v>43749</v>
      </c>
    </row>
    <row r="198" spans="1:14">
      <c r="A198" t="s">
        <v>236</v>
      </c>
      <c r="B198" t="s">
        <v>23</v>
      </c>
      <c r="C198" t="s">
        <v>9</v>
      </c>
      <c r="D198">
        <v>0</v>
      </c>
      <c r="E198" t="s">
        <v>7</v>
      </c>
      <c r="F198" t="s">
        <v>9</v>
      </c>
      <c r="G198">
        <v>8333</v>
      </c>
      <c r="H198">
        <v>3750</v>
      </c>
      <c r="I198">
        <v>187</v>
      </c>
      <c r="J198">
        <v>360</v>
      </c>
      <c r="K198">
        <v>1</v>
      </c>
      <c r="L198" t="s">
        <v>3</v>
      </c>
      <c r="M198" t="s">
        <v>39</v>
      </c>
      <c r="N198" s="6">
        <f t="shared" ca="1" si="3"/>
        <v>43494</v>
      </c>
    </row>
    <row r="199" spans="1:14">
      <c r="A199" t="s">
        <v>237</v>
      </c>
      <c r="B199" t="s">
        <v>8</v>
      </c>
      <c r="C199" t="s">
        <v>9</v>
      </c>
      <c r="D199">
        <v>0</v>
      </c>
      <c r="E199" t="s">
        <v>11</v>
      </c>
      <c r="F199" t="s">
        <v>9</v>
      </c>
      <c r="G199">
        <v>1907</v>
      </c>
      <c r="H199">
        <v>2365</v>
      </c>
      <c r="I199">
        <v>120</v>
      </c>
      <c r="K199">
        <v>1</v>
      </c>
      <c r="L199" t="s">
        <v>5</v>
      </c>
      <c r="M199" t="s">
        <v>39</v>
      </c>
      <c r="N199" s="6">
        <f t="shared" ca="1" si="3"/>
        <v>43728</v>
      </c>
    </row>
    <row r="200" spans="1:14">
      <c r="A200" t="s">
        <v>238</v>
      </c>
      <c r="B200" t="s">
        <v>8</v>
      </c>
      <c r="C200" t="s">
        <v>10</v>
      </c>
      <c r="D200">
        <v>0</v>
      </c>
      <c r="E200" t="s">
        <v>7</v>
      </c>
      <c r="F200" t="s">
        <v>9</v>
      </c>
      <c r="G200">
        <v>3416</v>
      </c>
      <c r="H200">
        <v>2816</v>
      </c>
      <c r="I200">
        <v>113</v>
      </c>
      <c r="J200">
        <v>360</v>
      </c>
      <c r="L200" t="s">
        <v>4</v>
      </c>
      <c r="M200" t="s">
        <v>39</v>
      </c>
      <c r="N200" s="6">
        <f t="shared" ca="1" si="3"/>
        <v>43653</v>
      </c>
    </row>
    <row r="201" spans="1:14">
      <c r="A201" t="s">
        <v>239</v>
      </c>
      <c r="B201" t="s">
        <v>23</v>
      </c>
      <c r="C201" t="s">
        <v>9</v>
      </c>
      <c r="D201">
        <v>0</v>
      </c>
      <c r="E201" t="s">
        <v>7</v>
      </c>
      <c r="F201" t="s">
        <v>10</v>
      </c>
      <c r="G201">
        <v>11000</v>
      </c>
      <c r="H201">
        <v>0</v>
      </c>
      <c r="I201">
        <v>83</v>
      </c>
      <c r="J201">
        <v>360</v>
      </c>
      <c r="K201">
        <v>1</v>
      </c>
      <c r="L201" t="s">
        <v>5</v>
      </c>
      <c r="M201" t="s">
        <v>41</v>
      </c>
      <c r="N201" s="6">
        <f t="shared" ca="1" si="3"/>
        <v>43780</v>
      </c>
    </row>
    <row r="202" spans="1:14">
      <c r="A202" t="s">
        <v>240</v>
      </c>
      <c r="B202" t="s">
        <v>23</v>
      </c>
      <c r="C202" t="s">
        <v>10</v>
      </c>
      <c r="D202">
        <v>1</v>
      </c>
      <c r="E202" t="s">
        <v>11</v>
      </c>
      <c r="F202" t="s">
        <v>9</v>
      </c>
      <c r="G202">
        <v>2600</v>
      </c>
      <c r="H202">
        <v>2500</v>
      </c>
      <c r="I202">
        <v>90</v>
      </c>
      <c r="J202">
        <v>360</v>
      </c>
      <c r="K202">
        <v>1</v>
      </c>
      <c r="L202" t="s">
        <v>4</v>
      </c>
      <c r="M202" t="s">
        <v>39</v>
      </c>
      <c r="N202" s="6">
        <f t="shared" ca="1" si="3"/>
        <v>43722</v>
      </c>
    </row>
    <row r="203" spans="1:14">
      <c r="A203" t="s">
        <v>241</v>
      </c>
      <c r="B203" t="s">
        <v>23</v>
      </c>
      <c r="C203" t="s">
        <v>9</v>
      </c>
      <c r="D203">
        <v>2</v>
      </c>
      <c r="E203" t="s">
        <v>7</v>
      </c>
      <c r="F203" t="s">
        <v>9</v>
      </c>
      <c r="G203">
        <v>4923</v>
      </c>
      <c r="H203">
        <v>0</v>
      </c>
      <c r="I203">
        <v>166</v>
      </c>
      <c r="J203">
        <v>360</v>
      </c>
      <c r="K203">
        <v>0</v>
      </c>
      <c r="L203" t="s">
        <v>4</v>
      </c>
      <c r="M203" t="s">
        <v>39</v>
      </c>
      <c r="N203" s="6">
        <f t="shared" ca="1" si="3"/>
        <v>43547</v>
      </c>
    </row>
    <row r="204" spans="1:14">
      <c r="A204" t="s">
        <v>242</v>
      </c>
      <c r="B204" t="s">
        <v>23</v>
      </c>
      <c r="C204" t="s">
        <v>10</v>
      </c>
      <c r="D204">
        <v>3</v>
      </c>
      <c r="E204" t="s">
        <v>11</v>
      </c>
      <c r="F204" t="s">
        <v>9</v>
      </c>
      <c r="G204">
        <v>3992</v>
      </c>
      <c r="H204">
        <v>0</v>
      </c>
      <c r="J204">
        <v>180</v>
      </c>
      <c r="K204">
        <v>1</v>
      </c>
      <c r="L204" t="s">
        <v>5</v>
      </c>
      <c r="M204" t="s">
        <v>41</v>
      </c>
      <c r="N204" s="6">
        <f t="shared" ca="1" si="3"/>
        <v>43676</v>
      </c>
    </row>
    <row r="205" spans="1:14">
      <c r="A205" t="s">
        <v>243</v>
      </c>
      <c r="B205" t="s">
        <v>23</v>
      </c>
      <c r="C205" t="s">
        <v>10</v>
      </c>
      <c r="D205">
        <v>1</v>
      </c>
      <c r="E205" t="s">
        <v>11</v>
      </c>
      <c r="F205" t="s">
        <v>9</v>
      </c>
      <c r="G205">
        <v>3500</v>
      </c>
      <c r="H205">
        <v>1083</v>
      </c>
      <c r="I205">
        <v>135</v>
      </c>
      <c r="J205">
        <v>360</v>
      </c>
      <c r="K205">
        <v>1</v>
      </c>
      <c r="L205" t="s">
        <v>5</v>
      </c>
      <c r="M205" t="s">
        <v>39</v>
      </c>
      <c r="N205" s="6">
        <f t="shared" ca="1" si="3"/>
        <v>43788</v>
      </c>
    </row>
    <row r="206" spans="1:14">
      <c r="A206" t="s">
        <v>244</v>
      </c>
      <c r="B206" t="s">
        <v>23</v>
      </c>
      <c r="C206" t="s">
        <v>10</v>
      </c>
      <c r="D206">
        <v>2</v>
      </c>
      <c r="E206" t="s">
        <v>11</v>
      </c>
      <c r="F206" t="s">
        <v>9</v>
      </c>
      <c r="G206">
        <v>3917</v>
      </c>
      <c r="H206">
        <v>0</v>
      </c>
      <c r="I206">
        <v>124</v>
      </c>
      <c r="J206">
        <v>360</v>
      </c>
      <c r="K206">
        <v>1</v>
      </c>
      <c r="L206" t="s">
        <v>4</v>
      </c>
      <c r="M206" t="s">
        <v>39</v>
      </c>
      <c r="N206" s="6">
        <f t="shared" ca="1" si="3"/>
        <v>43532</v>
      </c>
    </row>
    <row r="207" spans="1:14">
      <c r="A207" t="s">
        <v>245</v>
      </c>
      <c r="B207" t="s">
        <v>8</v>
      </c>
      <c r="C207" t="s">
        <v>9</v>
      </c>
      <c r="D207">
        <v>0</v>
      </c>
      <c r="E207" t="s">
        <v>11</v>
      </c>
      <c r="F207" t="s">
        <v>9</v>
      </c>
      <c r="G207">
        <v>4408</v>
      </c>
      <c r="H207">
        <v>0</v>
      </c>
      <c r="I207">
        <v>120</v>
      </c>
      <c r="J207">
        <v>360</v>
      </c>
      <c r="K207">
        <v>1</v>
      </c>
      <c r="L207" t="s">
        <v>4</v>
      </c>
      <c r="M207" t="s">
        <v>39</v>
      </c>
      <c r="N207" s="6">
        <f t="shared" ca="1" si="3"/>
        <v>43502</v>
      </c>
    </row>
    <row r="208" spans="1:14">
      <c r="A208" t="s">
        <v>246</v>
      </c>
      <c r="B208" t="s">
        <v>8</v>
      </c>
      <c r="C208" t="s">
        <v>9</v>
      </c>
      <c r="D208">
        <v>0</v>
      </c>
      <c r="E208" t="s">
        <v>7</v>
      </c>
      <c r="F208" t="s">
        <v>9</v>
      </c>
      <c r="G208">
        <v>3244</v>
      </c>
      <c r="H208">
        <v>0</v>
      </c>
      <c r="I208">
        <v>8000</v>
      </c>
      <c r="J208">
        <v>360</v>
      </c>
      <c r="K208">
        <v>1</v>
      </c>
      <c r="L208" t="s">
        <v>5</v>
      </c>
      <c r="M208" t="s">
        <v>39</v>
      </c>
      <c r="N208" s="6">
        <f t="shared" ca="1" si="3"/>
        <v>43824</v>
      </c>
    </row>
    <row r="209" spans="1:14">
      <c r="A209" t="s">
        <v>247</v>
      </c>
      <c r="B209" t="s">
        <v>23</v>
      </c>
      <c r="C209" t="s">
        <v>9</v>
      </c>
      <c r="D209">
        <v>0</v>
      </c>
      <c r="E209" t="s">
        <v>11</v>
      </c>
      <c r="F209" t="s">
        <v>9</v>
      </c>
      <c r="G209">
        <v>3975</v>
      </c>
      <c r="H209">
        <v>2531</v>
      </c>
      <c r="I209">
        <v>55</v>
      </c>
      <c r="J209">
        <v>360</v>
      </c>
      <c r="K209">
        <v>1</v>
      </c>
      <c r="L209" t="s">
        <v>3</v>
      </c>
      <c r="M209" t="s">
        <v>39</v>
      </c>
      <c r="N209" s="6">
        <f t="shared" ca="1" si="3"/>
        <v>43641</v>
      </c>
    </row>
    <row r="210" spans="1:14">
      <c r="A210" t="s">
        <v>248</v>
      </c>
      <c r="B210" t="s">
        <v>23</v>
      </c>
      <c r="C210" t="s">
        <v>9</v>
      </c>
      <c r="D210">
        <v>0</v>
      </c>
      <c r="E210" t="s">
        <v>7</v>
      </c>
      <c r="F210" t="s">
        <v>9</v>
      </c>
      <c r="G210">
        <v>2479</v>
      </c>
      <c r="H210">
        <v>0</v>
      </c>
      <c r="I210">
        <v>59</v>
      </c>
      <c r="J210">
        <v>360</v>
      </c>
      <c r="K210">
        <v>1</v>
      </c>
      <c r="L210" t="s">
        <v>5</v>
      </c>
      <c r="M210" t="s">
        <v>39</v>
      </c>
      <c r="N210" s="6">
        <f t="shared" ca="1" si="3"/>
        <v>43629</v>
      </c>
    </row>
    <row r="211" spans="1:14">
      <c r="A211" t="s">
        <v>249</v>
      </c>
      <c r="B211" t="s">
        <v>23</v>
      </c>
      <c r="C211" t="s">
        <v>9</v>
      </c>
      <c r="D211">
        <v>0</v>
      </c>
      <c r="E211" t="s">
        <v>7</v>
      </c>
      <c r="F211" t="s">
        <v>9</v>
      </c>
      <c r="G211">
        <v>3418</v>
      </c>
      <c r="H211">
        <v>0</v>
      </c>
      <c r="I211">
        <v>127</v>
      </c>
      <c r="J211">
        <v>360</v>
      </c>
      <c r="K211">
        <v>1</v>
      </c>
      <c r="L211" t="s">
        <v>4</v>
      </c>
      <c r="M211" t="s">
        <v>41</v>
      </c>
      <c r="N211" s="6">
        <f t="shared" ca="1" si="3"/>
        <v>43562</v>
      </c>
    </row>
    <row r="212" spans="1:14">
      <c r="A212" t="s">
        <v>250</v>
      </c>
      <c r="B212" t="s">
        <v>8</v>
      </c>
      <c r="C212" t="s">
        <v>9</v>
      </c>
      <c r="D212">
        <v>0</v>
      </c>
      <c r="E212" t="s">
        <v>7</v>
      </c>
      <c r="F212" t="s">
        <v>9</v>
      </c>
      <c r="G212">
        <v>10000</v>
      </c>
      <c r="H212">
        <v>0</v>
      </c>
      <c r="I212">
        <v>214</v>
      </c>
      <c r="J212">
        <v>360</v>
      </c>
      <c r="K212">
        <v>1</v>
      </c>
      <c r="L212" t="s">
        <v>4</v>
      </c>
      <c r="M212" t="s">
        <v>41</v>
      </c>
      <c r="N212" s="6">
        <f t="shared" ca="1" si="3"/>
        <v>43634</v>
      </c>
    </row>
    <row r="213" spans="1:14">
      <c r="A213" t="s">
        <v>251</v>
      </c>
      <c r="B213" t="s">
        <v>23</v>
      </c>
      <c r="C213" t="s">
        <v>10</v>
      </c>
      <c r="D213">
        <v>3</v>
      </c>
      <c r="E213" t="s">
        <v>7</v>
      </c>
      <c r="F213" t="s">
        <v>9</v>
      </c>
      <c r="G213">
        <v>3430</v>
      </c>
      <c r="H213">
        <v>1250</v>
      </c>
      <c r="I213">
        <v>128</v>
      </c>
      <c r="J213">
        <v>360</v>
      </c>
      <c r="K213">
        <v>0</v>
      </c>
      <c r="L213" t="s">
        <v>4</v>
      </c>
      <c r="M213" t="s">
        <v>41</v>
      </c>
      <c r="N213" s="6">
        <f t="shared" ca="1" si="3"/>
        <v>43573</v>
      </c>
    </row>
    <row r="214" spans="1:14">
      <c r="A214" t="s">
        <v>252</v>
      </c>
      <c r="B214" t="s">
        <v>23</v>
      </c>
      <c r="C214" t="s">
        <v>10</v>
      </c>
      <c r="D214">
        <v>1</v>
      </c>
      <c r="E214" t="s">
        <v>7</v>
      </c>
      <c r="F214" t="s">
        <v>10</v>
      </c>
      <c r="G214">
        <v>7787</v>
      </c>
      <c r="H214">
        <v>0</v>
      </c>
      <c r="I214">
        <v>240</v>
      </c>
      <c r="J214">
        <v>360</v>
      </c>
      <c r="K214">
        <v>1</v>
      </c>
      <c r="L214" t="s">
        <v>5</v>
      </c>
      <c r="M214" t="s">
        <v>39</v>
      </c>
      <c r="N214" s="6">
        <f t="shared" ca="1" si="3"/>
        <v>43805</v>
      </c>
    </row>
    <row r="215" spans="1:14">
      <c r="A215" t="s">
        <v>253</v>
      </c>
      <c r="B215" t="s">
        <v>23</v>
      </c>
      <c r="C215" t="s">
        <v>10</v>
      </c>
      <c r="D215">
        <v>3</v>
      </c>
      <c r="E215" t="s">
        <v>11</v>
      </c>
      <c r="F215" t="s">
        <v>10</v>
      </c>
      <c r="G215">
        <v>5703</v>
      </c>
      <c r="H215">
        <v>0</v>
      </c>
      <c r="I215">
        <v>130</v>
      </c>
      <c r="J215">
        <v>360</v>
      </c>
      <c r="K215">
        <v>1</v>
      </c>
      <c r="L215" t="s">
        <v>3</v>
      </c>
      <c r="M215" t="s">
        <v>39</v>
      </c>
      <c r="N215" s="6">
        <f t="shared" ca="1" si="3"/>
        <v>43498</v>
      </c>
    </row>
    <row r="216" spans="1:14">
      <c r="A216" t="s">
        <v>254</v>
      </c>
      <c r="B216" t="s">
        <v>23</v>
      </c>
      <c r="C216" t="s">
        <v>10</v>
      </c>
      <c r="D216">
        <v>0</v>
      </c>
      <c r="E216" t="s">
        <v>7</v>
      </c>
      <c r="F216" t="s">
        <v>9</v>
      </c>
      <c r="G216">
        <v>3173</v>
      </c>
      <c r="H216">
        <v>3021</v>
      </c>
      <c r="I216">
        <v>137</v>
      </c>
      <c r="J216">
        <v>360</v>
      </c>
      <c r="K216">
        <v>1</v>
      </c>
      <c r="L216" t="s">
        <v>5</v>
      </c>
      <c r="M216" t="s">
        <v>39</v>
      </c>
      <c r="N216" s="6">
        <f t="shared" ca="1" si="3"/>
        <v>43638</v>
      </c>
    </row>
    <row r="217" spans="1:14">
      <c r="A217" t="s">
        <v>255</v>
      </c>
      <c r="B217" t="s">
        <v>23</v>
      </c>
      <c r="C217" t="s">
        <v>10</v>
      </c>
      <c r="D217">
        <v>3</v>
      </c>
      <c r="E217" t="s">
        <v>11</v>
      </c>
      <c r="F217" t="s">
        <v>9</v>
      </c>
      <c r="G217">
        <v>3850</v>
      </c>
      <c r="H217">
        <v>983</v>
      </c>
      <c r="I217">
        <v>100</v>
      </c>
      <c r="J217">
        <v>360</v>
      </c>
      <c r="K217">
        <v>1</v>
      </c>
      <c r="L217" t="s">
        <v>4</v>
      </c>
      <c r="M217" t="s">
        <v>39</v>
      </c>
      <c r="N217" s="6">
        <f t="shared" ca="1" si="3"/>
        <v>43650</v>
      </c>
    </row>
    <row r="218" spans="1:14">
      <c r="A218" t="s">
        <v>256</v>
      </c>
      <c r="B218" t="s">
        <v>23</v>
      </c>
      <c r="C218" t="s">
        <v>10</v>
      </c>
      <c r="D218">
        <v>0</v>
      </c>
      <c r="E218" t="s">
        <v>7</v>
      </c>
      <c r="F218" t="s">
        <v>9</v>
      </c>
      <c r="G218">
        <v>150</v>
      </c>
      <c r="H218">
        <v>1800</v>
      </c>
      <c r="I218">
        <v>13500</v>
      </c>
      <c r="J218">
        <v>360</v>
      </c>
      <c r="K218">
        <v>1</v>
      </c>
      <c r="L218" t="s">
        <v>3</v>
      </c>
      <c r="M218" t="s">
        <v>41</v>
      </c>
      <c r="N218" s="6">
        <f t="shared" ca="1" si="3"/>
        <v>43477</v>
      </c>
    </row>
    <row r="219" spans="1:14">
      <c r="A219" t="s">
        <v>257</v>
      </c>
      <c r="B219" t="s">
        <v>23</v>
      </c>
      <c r="C219" t="s">
        <v>10</v>
      </c>
      <c r="D219">
        <v>0</v>
      </c>
      <c r="E219" t="s">
        <v>7</v>
      </c>
      <c r="F219" t="s">
        <v>9</v>
      </c>
      <c r="G219">
        <v>3727</v>
      </c>
      <c r="H219">
        <v>1775</v>
      </c>
      <c r="I219">
        <v>131</v>
      </c>
      <c r="J219">
        <v>360</v>
      </c>
      <c r="K219">
        <v>1</v>
      </c>
      <c r="L219" t="s">
        <v>4</v>
      </c>
      <c r="M219" t="s">
        <v>39</v>
      </c>
      <c r="N219" s="6">
        <f t="shared" ca="1" si="3"/>
        <v>43507</v>
      </c>
    </row>
    <row r="220" spans="1:14">
      <c r="A220" t="s">
        <v>258</v>
      </c>
      <c r="B220" t="s">
        <v>23</v>
      </c>
      <c r="C220" t="s">
        <v>10</v>
      </c>
      <c r="D220">
        <v>2</v>
      </c>
      <c r="E220" t="s">
        <v>7</v>
      </c>
      <c r="F220" t="s">
        <v>20</v>
      </c>
      <c r="G220">
        <v>5000</v>
      </c>
      <c r="H220">
        <v>0</v>
      </c>
      <c r="I220">
        <v>72</v>
      </c>
      <c r="J220">
        <v>360</v>
      </c>
      <c r="K220">
        <v>0</v>
      </c>
      <c r="L220" t="s">
        <v>4</v>
      </c>
      <c r="M220" t="s">
        <v>41</v>
      </c>
      <c r="N220" s="6">
        <f t="shared" ca="1" si="3"/>
        <v>43578</v>
      </c>
    </row>
    <row r="221" spans="1:14">
      <c r="A221" t="s">
        <v>259</v>
      </c>
      <c r="B221" t="s">
        <v>8</v>
      </c>
      <c r="C221" t="s">
        <v>10</v>
      </c>
      <c r="D221">
        <v>2</v>
      </c>
      <c r="E221" t="s">
        <v>7</v>
      </c>
      <c r="F221" t="s">
        <v>9</v>
      </c>
      <c r="G221">
        <v>4283</v>
      </c>
      <c r="H221">
        <v>2383</v>
      </c>
      <c r="I221">
        <v>127</v>
      </c>
      <c r="J221">
        <v>360</v>
      </c>
      <c r="L221" t="s">
        <v>4</v>
      </c>
      <c r="M221" t="s">
        <v>39</v>
      </c>
      <c r="N221" s="6">
        <f t="shared" ca="1" si="3"/>
        <v>43645</v>
      </c>
    </row>
    <row r="222" spans="1:14">
      <c r="A222" t="s">
        <v>260</v>
      </c>
      <c r="B222" t="s">
        <v>23</v>
      </c>
      <c r="C222" t="s">
        <v>10</v>
      </c>
      <c r="D222">
        <v>0</v>
      </c>
      <c r="E222" t="s">
        <v>7</v>
      </c>
      <c r="F222" t="s">
        <v>9</v>
      </c>
      <c r="G222">
        <v>2221</v>
      </c>
      <c r="H222">
        <v>0</v>
      </c>
      <c r="I222">
        <v>60</v>
      </c>
      <c r="J222">
        <v>360</v>
      </c>
      <c r="K222">
        <v>0</v>
      </c>
      <c r="L222" t="s">
        <v>5</v>
      </c>
      <c r="M222" t="s">
        <v>41</v>
      </c>
      <c r="N222" s="6">
        <f t="shared" ca="1" si="3"/>
        <v>43603</v>
      </c>
    </row>
    <row r="223" spans="1:14">
      <c r="A223" t="s">
        <v>261</v>
      </c>
      <c r="B223" t="s">
        <v>23</v>
      </c>
      <c r="C223" t="s">
        <v>10</v>
      </c>
      <c r="D223">
        <v>2</v>
      </c>
      <c r="E223" t="s">
        <v>7</v>
      </c>
      <c r="F223" t="s">
        <v>9</v>
      </c>
      <c r="G223">
        <v>4009</v>
      </c>
      <c r="H223">
        <v>1717</v>
      </c>
      <c r="I223">
        <v>116</v>
      </c>
      <c r="J223">
        <v>360</v>
      </c>
      <c r="K223">
        <v>1</v>
      </c>
      <c r="L223" t="s">
        <v>4</v>
      </c>
      <c r="M223" t="s">
        <v>39</v>
      </c>
      <c r="N223" s="6">
        <f t="shared" ca="1" si="3"/>
        <v>43750</v>
      </c>
    </row>
    <row r="224" spans="1:14">
      <c r="A224" t="s">
        <v>262</v>
      </c>
      <c r="B224" t="s">
        <v>23</v>
      </c>
      <c r="C224" t="s">
        <v>9</v>
      </c>
      <c r="D224">
        <v>0</v>
      </c>
      <c r="E224" t="s">
        <v>7</v>
      </c>
      <c r="F224" t="s">
        <v>9</v>
      </c>
      <c r="G224">
        <v>2971</v>
      </c>
      <c r="H224">
        <v>2791</v>
      </c>
      <c r="I224">
        <v>14400</v>
      </c>
      <c r="J224">
        <v>360</v>
      </c>
      <c r="K224">
        <v>1</v>
      </c>
      <c r="L224" t="s">
        <v>4</v>
      </c>
      <c r="M224" t="s">
        <v>39</v>
      </c>
      <c r="N224" s="6">
        <f t="shared" ca="1" si="3"/>
        <v>43716</v>
      </c>
    </row>
    <row r="225" spans="1:14">
      <c r="A225" t="s">
        <v>263</v>
      </c>
      <c r="B225" t="s">
        <v>23</v>
      </c>
      <c r="C225" t="s">
        <v>10</v>
      </c>
      <c r="D225">
        <v>0</v>
      </c>
      <c r="E225" t="s">
        <v>7</v>
      </c>
      <c r="F225" t="s">
        <v>9</v>
      </c>
      <c r="G225">
        <v>7578</v>
      </c>
      <c r="H225">
        <v>1010</v>
      </c>
      <c r="I225">
        <v>175</v>
      </c>
      <c r="K225">
        <v>1</v>
      </c>
      <c r="L225" t="s">
        <v>4</v>
      </c>
      <c r="M225" t="s">
        <v>39</v>
      </c>
      <c r="N225" s="6">
        <f t="shared" ca="1" si="3"/>
        <v>43691</v>
      </c>
    </row>
    <row r="226" spans="1:14">
      <c r="A226" t="s">
        <v>264</v>
      </c>
      <c r="B226" t="s">
        <v>23</v>
      </c>
      <c r="C226" t="s">
        <v>10</v>
      </c>
      <c r="D226">
        <v>0</v>
      </c>
      <c r="E226" t="s">
        <v>7</v>
      </c>
      <c r="F226" t="s">
        <v>9</v>
      </c>
      <c r="G226">
        <v>6250</v>
      </c>
      <c r="H226">
        <v>0</v>
      </c>
      <c r="I226">
        <v>128</v>
      </c>
      <c r="J226">
        <v>360</v>
      </c>
      <c r="K226">
        <v>1</v>
      </c>
      <c r="L226" t="s">
        <v>4</v>
      </c>
      <c r="M226" t="s">
        <v>39</v>
      </c>
      <c r="N226" s="6">
        <f t="shared" ca="1" si="3"/>
        <v>43733</v>
      </c>
    </row>
    <row r="227" spans="1:14">
      <c r="A227" t="s">
        <v>265</v>
      </c>
      <c r="B227" t="s">
        <v>23</v>
      </c>
      <c r="C227" t="s">
        <v>10</v>
      </c>
      <c r="D227">
        <v>0</v>
      </c>
      <c r="E227" t="s">
        <v>7</v>
      </c>
      <c r="F227" t="s">
        <v>9</v>
      </c>
      <c r="G227">
        <v>3250</v>
      </c>
      <c r="H227">
        <v>0</v>
      </c>
      <c r="I227">
        <v>170</v>
      </c>
      <c r="J227">
        <v>360</v>
      </c>
      <c r="K227">
        <v>1</v>
      </c>
      <c r="L227" t="s">
        <v>3</v>
      </c>
      <c r="M227" t="s">
        <v>41</v>
      </c>
      <c r="N227" s="6">
        <f t="shared" ca="1" si="3"/>
        <v>43640</v>
      </c>
    </row>
    <row r="228" spans="1:14">
      <c r="A228" t="s">
        <v>266</v>
      </c>
      <c r="B228" t="s">
        <v>23</v>
      </c>
      <c r="C228" t="s">
        <v>10</v>
      </c>
      <c r="E228" t="s">
        <v>11</v>
      </c>
      <c r="F228" t="s">
        <v>10</v>
      </c>
      <c r="G228">
        <v>4735</v>
      </c>
      <c r="H228">
        <v>0</v>
      </c>
      <c r="I228">
        <v>138</v>
      </c>
      <c r="J228">
        <v>360</v>
      </c>
      <c r="K228">
        <v>1</v>
      </c>
      <c r="L228" t="s">
        <v>5</v>
      </c>
      <c r="M228" t="s">
        <v>41</v>
      </c>
      <c r="N228" s="6">
        <f t="shared" ca="1" si="3"/>
        <v>43603</v>
      </c>
    </row>
    <row r="229" spans="1:14">
      <c r="A229" t="s">
        <v>267</v>
      </c>
      <c r="B229" t="s">
        <v>23</v>
      </c>
      <c r="C229" t="s">
        <v>10</v>
      </c>
      <c r="D229">
        <v>2</v>
      </c>
      <c r="E229" t="s">
        <v>7</v>
      </c>
      <c r="F229" t="s">
        <v>9</v>
      </c>
      <c r="G229">
        <v>6250</v>
      </c>
      <c r="H229">
        <v>1695</v>
      </c>
      <c r="I229">
        <v>210</v>
      </c>
      <c r="J229">
        <v>360</v>
      </c>
      <c r="K229">
        <v>1</v>
      </c>
      <c r="L229" t="s">
        <v>4</v>
      </c>
      <c r="M229" t="s">
        <v>39</v>
      </c>
      <c r="N229" s="6">
        <f t="shared" ca="1" si="3"/>
        <v>43553</v>
      </c>
    </row>
    <row r="230" spans="1:14">
      <c r="A230" t="s">
        <v>268</v>
      </c>
      <c r="B230" t="s">
        <v>23</v>
      </c>
      <c r="C230" t="s">
        <v>20</v>
      </c>
      <c r="E230" t="s">
        <v>7</v>
      </c>
      <c r="F230" t="s">
        <v>9</v>
      </c>
      <c r="G230">
        <v>4758</v>
      </c>
      <c r="H230">
        <v>0</v>
      </c>
      <c r="I230">
        <v>158</v>
      </c>
      <c r="J230">
        <v>480</v>
      </c>
      <c r="K230">
        <v>1</v>
      </c>
      <c r="L230" t="s">
        <v>4</v>
      </c>
      <c r="M230" t="s">
        <v>39</v>
      </c>
      <c r="N230" s="6">
        <f t="shared" ca="1" si="3"/>
        <v>43770</v>
      </c>
    </row>
    <row r="231" spans="1:14">
      <c r="A231" t="s">
        <v>269</v>
      </c>
      <c r="B231" t="s">
        <v>23</v>
      </c>
      <c r="C231" t="s">
        <v>9</v>
      </c>
      <c r="D231">
        <v>0</v>
      </c>
      <c r="E231" t="s">
        <v>7</v>
      </c>
      <c r="F231" t="s">
        <v>10</v>
      </c>
      <c r="G231">
        <v>6400</v>
      </c>
      <c r="H231">
        <v>0</v>
      </c>
      <c r="I231">
        <v>200</v>
      </c>
      <c r="J231">
        <v>360</v>
      </c>
      <c r="K231">
        <v>1</v>
      </c>
      <c r="L231" t="s">
        <v>3</v>
      </c>
      <c r="M231" t="s">
        <v>39</v>
      </c>
      <c r="N231" s="6">
        <f t="shared" ca="1" si="3"/>
        <v>43503</v>
      </c>
    </row>
    <row r="232" spans="1:14">
      <c r="A232" t="s">
        <v>270</v>
      </c>
      <c r="B232" t="s">
        <v>23</v>
      </c>
      <c r="C232" t="s">
        <v>10</v>
      </c>
      <c r="D232">
        <v>1</v>
      </c>
      <c r="E232" t="s">
        <v>7</v>
      </c>
      <c r="F232" t="s">
        <v>9</v>
      </c>
      <c r="G232">
        <v>2491</v>
      </c>
      <c r="H232">
        <v>2054</v>
      </c>
      <c r="I232">
        <v>104</v>
      </c>
      <c r="J232">
        <v>360</v>
      </c>
      <c r="K232">
        <v>1</v>
      </c>
      <c r="L232" t="s">
        <v>4</v>
      </c>
      <c r="M232" t="s">
        <v>39</v>
      </c>
      <c r="N232" s="6">
        <f t="shared" ca="1" si="3"/>
        <v>43670</v>
      </c>
    </row>
    <row r="233" spans="1:14">
      <c r="A233" t="s">
        <v>271</v>
      </c>
      <c r="B233" t="s">
        <v>23</v>
      </c>
      <c r="C233" t="s">
        <v>10</v>
      </c>
      <c r="D233">
        <v>0</v>
      </c>
      <c r="E233" t="s">
        <v>7</v>
      </c>
      <c r="F233" t="s">
        <v>20</v>
      </c>
      <c r="G233">
        <v>3716</v>
      </c>
      <c r="H233">
        <v>0</v>
      </c>
      <c r="I233">
        <v>42</v>
      </c>
      <c r="J233">
        <v>180</v>
      </c>
      <c r="K233">
        <v>1</v>
      </c>
      <c r="L233" t="s">
        <v>3</v>
      </c>
      <c r="M233" t="s">
        <v>39</v>
      </c>
      <c r="N233" s="6">
        <f t="shared" ca="1" si="3"/>
        <v>43536</v>
      </c>
    </row>
    <row r="234" spans="1:14">
      <c r="A234" t="s">
        <v>272</v>
      </c>
      <c r="B234" t="s">
        <v>23</v>
      </c>
      <c r="C234" t="s">
        <v>9</v>
      </c>
      <c r="D234">
        <v>0</v>
      </c>
      <c r="E234" t="s">
        <v>11</v>
      </c>
      <c r="F234" t="s">
        <v>9</v>
      </c>
      <c r="G234">
        <v>3189</v>
      </c>
      <c r="H234">
        <v>2598</v>
      </c>
      <c r="I234">
        <v>120</v>
      </c>
      <c r="K234">
        <v>1</v>
      </c>
      <c r="L234" t="s">
        <v>3</v>
      </c>
      <c r="M234" t="s">
        <v>39</v>
      </c>
      <c r="N234" s="6">
        <f t="shared" ca="1" si="3"/>
        <v>43681</v>
      </c>
    </row>
    <row r="235" spans="1:14">
      <c r="A235" t="s">
        <v>273</v>
      </c>
      <c r="B235" t="s">
        <v>8</v>
      </c>
      <c r="C235" t="s">
        <v>9</v>
      </c>
      <c r="D235">
        <v>0</v>
      </c>
      <c r="E235" t="s">
        <v>7</v>
      </c>
      <c r="F235" t="s">
        <v>9</v>
      </c>
      <c r="G235">
        <v>8333</v>
      </c>
      <c r="H235">
        <v>0</v>
      </c>
      <c r="I235">
        <v>28000</v>
      </c>
      <c r="J235">
        <v>360</v>
      </c>
      <c r="K235">
        <v>1</v>
      </c>
      <c r="L235" t="s">
        <v>4</v>
      </c>
      <c r="M235" t="s">
        <v>39</v>
      </c>
      <c r="N235" s="6">
        <f t="shared" ca="1" si="3"/>
        <v>43493</v>
      </c>
    </row>
    <row r="236" spans="1:14">
      <c r="A236" t="s">
        <v>274</v>
      </c>
      <c r="B236" t="s">
        <v>23</v>
      </c>
      <c r="C236" t="s">
        <v>10</v>
      </c>
      <c r="D236">
        <v>1</v>
      </c>
      <c r="E236" t="s">
        <v>7</v>
      </c>
      <c r="F236" t="s">
        <v>9</v>
      </c>
      <c r="G236">
        <v>3155</v>
      </c>
      <c r="H236">
        <v>1779</v>
      </c>
      <c r="I236">
        <v>140</v>
      </c>
      <c r="J236">
        <v>360</v>
      </c>
      <c r="K236">
        <v>1</v>
      </c>
      <c r="L236" t="s">
        <v>4</v>
      </c>
      <c r="M236" t="s">
        <v>39</v>
      </c>
      <c r="N236" s="6">
        <f t="shared" ca="1" si="3"/>
        <v>43816</v>
      </c>
    </row>
    <row r="237" spans="1:14">
      <c r="A237" t="s">
        <v>275</v>
      </c>
      <c r="B237" t="s">
        <v>23</v>
      </c>
      <c r="C237" t="s">
        <v>10</v>
      </c>
      <c r="D237">
        <v>1</v>
      </c>
      <c r="E237" t="s">
        <v>7</v>
      </c>
      <c r="F237" t="s">
        <v>9</v>
      </c>
      <c r="G237">
        <v>5500</v>
      </c>
      <c r="H237">
        <v>1260</v>
      </c>
      <c r="I237">
        <v>170</v>
      </c>
      <c r="J237">
        <v>360</v>
      </c>
      <c r="K237">
        <v>1</v>
      </c>
      <c r="L237" t="s">
        <v>3</v>
      </c>
      <c r="M237" t="s">
        <v>39</v>
      </c>
      <c r="N237" s="6">
        <f t="shared" ca="1" si="3"/>
        <v>43480</v>
      </c>
    </row>
    <row r="238" spans="1:14">
      <c r="A238" t="s">
        <v>276</v>
      </c>
      <c r="B238" t="s">
        <v>23</v>
      </c>
      <c r="C238" t="s">
        <v>10</v>
      </c>
      <c r="D238">
        <v>0</v>
      </c>
      <c r="E238" t="s">
        <v>7</v>
      </c>
      <c r="F238" t="s">
        <v>20</v>
      </c>
      <c r="G238">
        <v>5746</v>
      </c>
      <c r="H238">
        <v>0</v>
      </c>
      <c r="I238">
        <v>255</v>
      </c>
      <c r="J238">
        <v>360</v>
      </c>
      <c r="L238" t="s">
        <v>5</v>
      </c>
      <c r="M238" t="s">
        <v>41</v>
      </c>
      <c r="N238" s="6">
        <f t="shared" ca="1" si="3"/>
        <v>43481</v>
      </c>
    </row>
    <row r="239" spans="1:14">
      <c r="A239" t="s">
        <v>277</v>
      </c>
      <c r="B239" t="s">
        <v>8</v>
      </c>
      <c r="C239" t="s">
        <v>9</v>
      </c>
      <c r="D239">
        <v>0</v>
      </c>
      <c r="E239" t="s">
        <v>7</v>
      </c>
      <c r="F239" t="s">
        <v>10</v>
      </c>
      <c r="G239">
        <v>3463</v>
      </c>
      <c r="H239">
        <v>0</v>
      </c>
      <c r="I239">
        <v>122</v>
      </c>
      <c r="J239">
        <v>360</v>
      </c>
      <c r="L239" t="s">
        <v>5</v>
      </c>
      <c r="M239" t="s">
        <v>39</v>
      </c>
      <c r="N239" s="6">
        <f t="shared" ca="1" si="3"/>
        <v>43494</v>
      </c>
    </row>
    <row r="240" spans="1:14">
      <c r="A240" t="s">
        <v>278</v>
      </c>
      <c r="B240" t="s">
        <v>8</v>
      </c>
      <c r="C240" t="s">
        <v>9</v>
      </c>
      <c r="D240">
        <v>1</v>
      </c>
      <c r="E240" t="s">
        <v>7</v>
      </c>
      <c r="F240" t="s">
        <v>9</v>
      </c>
      <c r="G240">
        <v>3812</v>
      </c>
      <c r="H240">
        <v>0</v>
      </c>
      <c r="I240">
        <v>112</v>
      </c>
      <c r="J240">
        <v>360</v>
      </c>
      <c r="K240">
        <v>1</v>
      </c>
      <c r="L240" t="s">
        <v>3</v>
      </c>
      <c r="M240" t="s">
        <v>39</v>
      </c>
      <c r="N240" s="6">
        <f t="shared" ca="1" si="3"/>
        <v>43751</v>
      </c>
    </row>
    <row r="241" spans="1:14">
      <c r="A241" t="s">
        <v>279</v>
      </c>
      <c r="B241" t="s">
        <v>23</v>
      </c>
      <c r="C241" t="s">
        <v>10</v>
      </c>
      <c r="D241">
        <v>1</v>
      </c>
      <c r="E241" t="s">
        <v>7</v>
      </c>
      <c r="F241" t="s">
        <v>9</v>
      </c>
      <c r="G241">
        <v>3315</v>
      </c>
      <c r="H241">
        <v>0</v>
      </c>
      <c r="I241">
        <v>96</v>
      </c>
      <c r="J241">
        <v>360</v>
      </c>
      <c r="K241">
        <v>1</v>
      </c>
      <c r="L241" t="s">
        <v>4</v>
      </c>
      <c r="M241" t="s">
        <v>39</v>
      </c>
      <c r="N241" s="6">
        <f t="shared" ca="1" si="3"/>
        <v>43678</v>
      </c>
    </row>
    <row r="242" spans="1:14">
      <c r="A242" t="s">
        <v>280</v>
      </c>
      <c r="B242" t="s">
        <v>23</v>
      </c>
      <c r="C242" t="s">
        <v>10</v>
      </c>
      <c r="D242">
        <v>2</v>
      </c>
      <c r="E242" t="s">
        <v>7</v>
      </c>
      <c r="F242" t="s">
        <v>9</v>
      </c>
      <c r="G242">
        <v>5819</v>
      </c>
      <c r="H242">
        <v>5000</v>
      </c>
      <c r="I242">
        <v>120</v>
      </c>
      <c r="J242">
        <v>360</v>
      </c>
      <c r="K242">
        <v>1</v>
      </c>
      <c r="L242" t="s">
        <v>3</v>
      </c>
      <c r="M242" t="s">
        <v>39</v>
      </c>
      <c r="N242" s="6">
        <f t="shared" ca="1" si="3"/>
        <v>43800</v>
      </c>
    </row>
    <row r="243" spans="1:14">
      <c r="A243" t="s">
        <v>281</v>
      </c>
      <c r="B243" t="s">
        <v>23</v>
      </c>
      <c r="C243" t="s">
        <v>10</v>
      </c>
      <c r="D243">
        <v>1</v>
      </c>
      <c r="E243" t="s">
        <v>11</v>
      </c>
      <c r="F243" t="s">
        <v>9</v>
      </c>
      <c r="G243">
        <v>2510</v>
      </c>
      <c r="H243">
        <v>1983</v>
      </c>
      <c r="I243">
        <v>2140</v>
      </c>
      <c r="J243">
        <v>180</v>
      </c>
      <c r="K243">
        <v>1</v>
      </c>
      <c r="L243" t="s">
        <v>5</v>
      </c>
      <c r="M243" t="s">
        <v>41</v>
      </c>
      <c r="N243" s="6">
        <f t="shared" ca="1" si="3"/>
        <v>43786</v>
      </c>
    </row>
    <row r="244" spans="1:14">
      <c r="A244" t="s">
        <v>282</v>
      </c>
      <c r="B244" t="s">
        <v>23</v>
      </c>
      <c r="C244" t="s">
        <v>9</v>
      </c>
      <c r="D244">
        <v>0</v>
      </c>
      <c r="E244" t="s">
        <v>7</v>
      </c>
      <c r="F244" t="s">
        <v>9</v>
      </c>
      <c r="G244">
        <v>2965</v>
      </c>
      <c r="H244">
        <v>5701</v>
      </c>
      <c r="I244">
        <v>155</v>
      </c>
      <c r="J244">
        <v>60</v>
      </c>
      <c r="K244">
        <v>1</v>
      </c>
      <c r="L244" t="s">
        <v>5</v>
      </c>
      <c r="M244" t="s">
        <v>39</v>
      </c>
      <c r="N244" s="6">
        <f t="shared" ca="1" si="3"/>
        <v>43676</v>
      </c>
    </row>
    <row r="245" spans="1:14">
      <c r="A245" t="s">
        <v>283</v>
      </c>
      <c r="B245" t="s">
        <v>23</v>
      </c>
      <c r="C245" t="s">
        <v>10</v>
      </c>
      <c r="D245">
        <v>2</v>
      </c>
      <c r="E245" t="s">
        <v>7</v>
      </c>
      <c r="F245" t="s">
        <v>10</v>
      </c>
      <c r="G245">
        <v>6250</v>
      </c>
      <c r="H245">
        <v>1300</v>
      </c>
      <c r="I245">
        <v>108</v>
      </c>
      <c r="J245">
        <v>360</v>
      </c>
      <c r="K245">
        <v>1</v>
      </c>
      <c r="L245" t="s">
        <v>3</v>
      </c>
      <c r="M245" t="s">
        <v>39</v>
      </c>
      <c r="N245" s="6">
        <f t="shared" ca="1" si="3"/>
        <v>43658</v>
      </c>
    </row>
    <row r="246" spans="1:14">
      <c r="A246" t="s">
        <v>284</v>
      </c>
      <c r="B246" t="s">
        <v>23</v>
      </c>
      <c r="C246" t="s">
        <v>10</v>
      </c>
      <c r="D246">
        <v>0</v>
      </c>
      <c r="E246" t="s">
        <v>11</v>
      </c>
      <c r="F246" t="s">
        <v>9</v>
      </c>
      <c r="G246">
        <v>3406</v>
      </c>
      <c r="H246">
        <v>4417</v>
      </c>
      <c r="I246">
        <v>123</v>
      </c>
      <c r="J246">
        <v>360</v>
      </c>
      <c r="K246">
        <v>1</v>
      </c>
      <c r="L246" t="s">
        <v>4</v>
      </c>
      <c r="M246" t="s">
        <v>39</v>
      </c>
      <c r="N246" s="6">
        <f t="shared" ca="1" si="3"/>
        <v>43650</v>
      </c>
    </row>
    <row r="247" spans="1:14">
      <c r="A247" t="s">
        <v>285</v>
      </c>
      <c r="B247" t="s">
        <v>23</v>
      </c>
      <c r="C247" t="s">
        <v>9</v>
      </c>
      <c r="D247">
        <v>0</v>
      </c>
      <c r="E247" t="s">
        <v>7</v>
      </c>
      <c r="F247" t="s">
        <v>10</v>
      </c>
      <c r="G247">
        <v>6050</v>
      </c>
      <c r="H247">
        <v>4333</v>
      </c>
      <c r="I247">
        <v>120</v>
      </c>
      <c r="J247">
        <v>180</v>
      </c>
      <c r="K247">
        <v>1</v>
      </c>
      <c r="L247" t="s">
        <v>5</v>
      </c>
      <c r="M247" t="s">
        <v>41</v>
      </c>
      <c r="N247" s="6">
        <f t="shared" ca="1" si="3"/>
        <v>43467</v>
      </c>
    </row>
    <row r="248" spans="1:14">
      <c r="A248" t="s">
        <v>286</v>
      </c>
      <c r="B248" t="s">
        <v>23</v>
      </c>
      <c r="C248" t="s">
        <v>10</v>
      </c>
      <c r="D248">
        <v>2</v>
      </c>
      <c r="E248" t="s">
        <v>7</v>
      </c>
      <c r="F248" t="s">
        <v>9</v>
      </c>
      <c r="G248">
        <v>9703</v>
      </c>
      <c r="H248">
        <v>0</v>
      </c>
      <c r="I248">
        <v>11200</v>
      </c>
      <c r="J248">
        <v>360</v>
      </c>
      <c r="K248">
        <v>1</v>
      </c>
      <c r="L248" t="s">
        <v>5</v>
      </c>
      <c r="M248" t="s">
        <v>39</v>
      </c>
      <c r="N248" s="6">
        <f t="shared" ca="1" si="3"/>
        <v>43738</v>
      </c>
    </row>
    <row r="249" spans="1:14">
      <c r="A249" t="s">
        <v>287</v>
      </c>
      <c r="B249" t="s">
        <v>23</v>
      </c>
      <c r="C249" t="s">
        <v>10</v>
      </c>
      <c r="D249">
        <v>1</v>
      </c>
      <c r="E249" t="s">
        <v>11</v>
      </c>
      <c r="F249" t="s">
        <v>9</v>
      </c>
      <c r="G249">
        <v>6608</v>
      </c>
      <c r="H249">
        <v>0</v>
      </c>
      <c r="I249">
        <v>137</v>
      </c>
      <c r="J249">
        <v>180</v>
      </c>
      <c r="K249">
        <v>1</v>
      </c>
      <c r="L249" t="s">
        <v>5</v>
      </c>
      <c r="M249" t="s">
        <v>39</v>
      </c>
      <c r="N249" s="6">
        <f t="shared" ca="1" si="3"/>
        <v>43696</v>
      </c>
    </row>
    <row r="250" spans="1:14">
      <c r="A250" t="s">
        <v>288</v>
      </c>
      <c r="B250" t="s">
        <v>23</v>
      </c>
      <c r="C250" t="s">
        <v>10</v>
      </c>
      <c r="D250">
        <v>1</v>
      </c>
      <c r="E250" t="s">
        <v>7</v>
      </c>
      <c r="F250" t="s">
        <v>9</v>
      </c>
      <c r="G250">
        <v>2882</v>
      </c>
      <c r="H250">
        <v>1843</v>
      </c>
      <c r="I250">
        <v>123</v>
      </c>
      <c r="J250">
        <v>480</v>
      </c>
      <c r="K250">
        <v>1</v>
      </c>
      <c r="L250" t="s">
        <v>4</v>
      </c>
      <c r="M250" t="s">
        <v>39</v>
      </c>
      <c r="N250" s="6">
        <f t="shared" ca="1" si="3"/>
        <v>43587</v>
      </c>
    </row>
    <row r="251" spans="1:14">
      <c r="A251" t="s">
        <v>289</v>
      </c>
      <c r="B251" t="s">
        <v>23</v>
      </c>
      <c r="C251" t="s">
        <v>10</v>
      </c>
      <c r="D251">
        <v>0</v>
      </c>
      <c r="E251" t="s">
        <v>7</v>
      </c>
      <c r="F251" t="s">
        <v>9</v>
      </c>
      <c r="G251">
        <v>1809</v>
      </c>
      <c r="H251">
        <v>1868</v>
      </c>
      <c r="I251">
        <v>90</v>
      </c>
      <c r="J251">
        <v>360</v>
      </c>
      <c r="K251">
        <v>1</v>
      </c>
      <c r="L251" t="s">
        <v>5</v>
      </c>
      <c r="M251" t="s">
        <v>39</v>
      </c>
      <c r="N251" s="6">
        <f t="shared" ca="1" si="3"/>
        <v>43688</v>
      </c>
    </row>
    <row r="252" spans="1:14">
      <c r="A252" t="s">
        <v>290</v>
      </c>
      <c r="B252" t="s">
        <v>23</v>
      </c>
      <c r="C252" t="s">
        <v>10</v>
      </c>
      <c r="D252">
        <v>0</v>
      </c>
      <c r="E252" t="s">
        <v>11</v>
      </c>
      <c r="F252" t="s">
        <v>9</v>
      </c>
      <c r="G252">
        <v>1668</v>
      </c>
      <c r="H252">
        <v>3890</v>
      </c>
      <c r="I252">
        <v>201</v>
      </c>
      <c r="J252">
        <v>360</v>
      </c>
      <c r="K252">
        <v>0</v>
      </c>
      <c r="L252" t="s">
        <v>4</v>
      </c>
      <c r="M252" t="s">
        <v>41</v>
      </c>
      <c r="N252" s="6">
        <f t="shared" ca="1" si="3"/>
        <v>43672</v>
      </c>
    </row>
    <row r="253" spans="1:14">
      <c r="A253" t="s">
        <v>291</v>
      </c>
      <c r="B253" t="s">
        <v>8</v>
      </c>
      <c r="C253" t="s">
        <v>9</v>
      </c>
      <c r="D253">
        <v>2</v>
      </c>
      <c r="E253" t="s">
        <v>7</v>
      </c>
      <c r="F253" t="s">
        <v>9</v>
      </c>
      <c r="G253">
        <v>3427</v>
      </c>
      <c r="H253">
        <v>0</v>
      </c>
      <c r="I253">
        <v>138</v>
      </c>
      <c r="J253">
        <v>360</v>
      </c>
      <c r="K253">
        <v>1</v>
      </c>
      <c r="L253" t="s">
        <v>5</v>
      </c>
      <c r="M253" t="s">
        <v>41</v>
      </c>
      <c r="N253" s="6">
        <f t="shared" ca="1" si="3"/>
        <v>43808</v>
      </c>
    </row>
    <row r="254" spans="1:14">
      <c r="A254" t="s">
        <v>292</v>
      </c>
      <c r="B254" t="s">
        <v>23</v>
      </c>
      <c r="C254" t="s">
        <v>9</v>
      </c>
      <c r="D254">
        <v>0</v>
      </c>
      <c r="E254" t="s">
        <v>11</v>
      </c>
      <c r="F254" t="s">
        <v>10</v>
      </c>
      <c r="G254">
        <v>2583</v>
      </c>
      <c r="H254">
        <v>2167</v>
      </c>
      <c r="I254">
        <v>2104</v>
      </c>
      <c r="J254">
        <v>360</v>
      </c>
      <c r="K254">
        <v>1</v>
      </c>
      <c r="L254" t="s">
        <v>3</v>
      </c>
      <c r="M254" t="s">
        <v>39</v>
      </c>
      <c r="N254" s="6">
        <f t="shared" ca="1" si="3"/>
        <v>43678</v>
      </c>
    </row>
    <row r="255" spans="1:14">
      <c r="A255" t="s">
        <v>293</v>
      </c>
      <c r="B255" t="s">
        <v>23</v>
      </c>
      <c r="C255" t="s">
        <v>10</v>
      </c>
      <c r="D255">
        <v>1</v>
      </c>
      <c r="E255" t="s">
        <v>11</v>
      </c>
      <c r="F255" t="s">
        <v>9</v>
      </c>
      <c r="G255">
        <v>2661</v>
      </c>
      <c r="H255">
        <v>7101</v>
      </c>
      <c r="I255">
        <v>279</v>
      </c>
      <c r="J255">
        <v>180</v>
      </c>
      <c r="K255">
        <v>1</v>
      </c>
      <c r="L255" t="s">
        <v>4</v>
      </c>
      <c r="M255" t="s">
        <v>39</v>
      </c>
      <c r="N255" s="6">
        <f t="shared" ca="1" si="3"/>
        <v>43800</v>
      </c>
    </row>
    <row r="256" spans="1:14">
      <c r="A256" t="s">
        <v>294</v>
      </c>
      <c r="B256" t="s">
        <v>23</v>
      </c>
      <c r="C256" t="s">
        <v>9</v>
      </c>
      <c r="D256">
        <v>0</v>
      </c>
      <c r="E256" t="s">
        <v>7</v>
      </c>
      <c r="F256" t="s">
        <v>10</v>
      </c>
      <c r="G256">
        <v>16250</v>
      </c>
      <c r="H256">
        <v>0</v>
      </c>
      <c r="I256">
        <v>192</v>
      </c>
      <c r="J256">
        <v>360</v>
      </c>
      <c r="K256">
        <v>0</v>
      </c>
      <c r="L256" t="s">
        <v>5</v>
      </c>
      <c r="M256" t="s">
        <v>41</v>
      </c>
      <c r="N256" s="6">
        <f t="shared" ca="1" si="3"/>
        <v>43726</v>
      </c>
    </row>
    <row r="257" spans="1:14">
      <c r="A257" t="s">
        <v>295</v>
      </c>
      <c r="B257" t="s">
        <v>8</v>
      </c>
      <c r="C257" t="s">
        <v>9</v>
      </c>
      <c r="D257">
        <v>3</v>
      </c>
      <c r="E257" t="s">
        <v>7</v>
      </c>
      <c r="F257" t="s">
        <v>9</v>
      </c>
      <c r="G257">
        <v>3083</v>
      </c>
      <c r="H257">
        <v>0</v>
      </c>
      <c r="I257">
        <v>255</v>
      </c>
      <c r="J257">
        <v>360</v>
      </c>
      <c r="K257">
        <v>1</v>
      </c>
      <c r="L257" t="s">
        <v>3</v>
      </c>
      <c r="M257" t="s">
        <v>39</v>
      </c>
      <c r="N257" s="6">
        <f t="shared" ca="1" si="3"/>
        <v>43520</v>
      </c>
    </row>
    <row r="258" spans="1:14">
      <c r="A258" t="s">
        <v>296</v>
      </c>
      <c r="B258" t="s">
        <v>23</v>
      </c>
      <c r="C258" t="s">
        <v>9</v>
      </c>
      <c r="D258">
        <v>0</v>
      </c>
      <c r="E258" t="s">
        <v>11</v>
      </c>
      <c r="F258" t="s">
        <v>9</v>
      </c>
      <c r="G258">
        <v>6045</v>
      </c>
      <c r="H258">
        <v>0</v>
      </c>
      <c r="I258">
        <v>115</v>
      </c>
      <c r="J258">
        <v>360</v>
      </c>
      <c r="K258">
        <v>0</v>
      </c>
      <c r="L258" t="s">
        <v>3</v>
      </c>
      <c r="M258" t="s">
        <v>41</v>
      </c>
      <c r="N258" s="6">
        <f t="shared" ref="N258:N321" ca="1" si="4">RANDBETWEEN(DATE(2019,1,1),DATE(2019,12,31))</f>
        <v>43468</v>
      </c>
    </row>
    <row r="259" spans="1:14">
      <c r="A259" t="s">
        <v>297</v>
      </c>
      <c r="B259" t="s">
        <v>23</v>
      </c>
      <c r="C259" t="s">
        <v>10</v>
      </c>
      <c r="D259">
        <v>3</v>
      </c>
      <c r="E259" t="s">
        <v>7</v>
      </c>
      <c r="F259" t="s">
        <v>9</v>
      </c>
      <c r="G259">
        <v>5250</v>
      </c>
      <c r="H259">
        <v>0</v>
      </c>
      <c r="I259">
        <v>94</v>
      </c>
      <c r="J259">
        <v>360</v>
      </c>
      <c r="K259">
        <v>1</v>
      </c>
      <c r="L259" t="s">
        <v>5</v>
      </c>
      <c r="M259" t="s">
        <v>41</v>
      </c>
      <c r="N259" s="6">
        <f t="shared" ca="1" si="4"/>
        <v>43558</v>
      </c>
    </row>
    <row r="260" spans="1:14">
      <c r="A260" t="s">
        <v>298</v>
      </c>
      <c r="B260" t="s">
        <v>23</v>
      </c>
      <c r="C260" t="s">
        <v>10</v>
      </c>
      <c r="D260">
        <v>0</v>
      </c>
      <c r="E260" t="s">
        <v>7</v>
      </c>
      <c r="F260" t="s">
        <v>9</v>
      </c>
      <c r="G260">
        <v>14683</v>
      </c>
      <c r="H260">
        <v>2100</v>
      </c>
      <c r="I260">
        <v>2304</v>
      </c>
      <c r="J260">
        <v>360</v>
      </c>
      <c r="K260">
        <v>1</v>
      </c>
      <c r="L260" t="s">
        <v>3</v>
      </c>
      <c r="M260" t="s">
        <v>41</v>
      </c>
      <c r="N260" s="6">
        <f t="shared" ca="1" si="4"/>
        <v>43669</v>
      </c>
    </row>
    <row r="261" spans="1:14">
      <c r="A261" t="s">
        <v>299</v>
      </c>
      <c r="B261" t="s">
        <v>23</v>
      </c>
      <c r="C261" t="s">
        <v>10</v>
      </c>
      <c r="D261">
        <v>3</v>
      </c>
      <c r="E261" t="s">
        <v>11</v>
      </c>
      <c r="F261" t="s">
        <v>9</v>
      </c>
      <c r="G261">
        <v>4931</v>
      </c>
      <c r="H261">
        <v>0</v>
      </c>
      <c r="I261">
        <v>128</v>
      </c>
      <c r="J261">
        <v>360</v>
      </c>
      <c r="L261" t="s">
        <v>4</v>
      </c>
      <c r="M261" t="s">
        <v>41</v>
      </c>
      <c r="N261" s="6">
        <f t="shared" ca="1" si="4"/>
        <v>43681</v>
      </c>
    </row>
    <row r="262" spans="1:14">
      <c r="A262" t="s">
        <v>300</v>
      </c>
      <c r="B262" t="s">
        <v>23</v>
      </c>
      <c r="C262" t="s">
        <v>10</v>
      </c>
      <c r="D262">
        <v>1</v>
      </c>
      <c r="E262" t="s">
        <v>7</v>
      </c>
      <c r="F262" t="s">
        <v>9</v>
      </c>
      <c r="G262">
        <v>6083</v>
      </c>
      <c r="H262">
        <v>4250</v>
      </c>
      <c r="I262">
        <v>33000</v>
      </c>
      <c r="J262">
        <v>360</v>
      </c>
      <c r="L262" t="s">
        <v>5</v>
      </c>
      <c r="M262" t="s">
        <v>39</v>
      </c>
      <c r="N262" s="6">
        <f t="shared" ca="1" si="4"/>
        <v>43742</v>
      </c>
    </row>
    <row r="263" spans="1:14">
      <c r="A263" t="s">
        <v>301</v>
      </c>
      <c r="B263" t="s">
        <v>23</v>
      </c>
      <c r="C263" t="s">
        <v>9</v>
      </c>
      <c r="D263">
        <v>0</v>
      </c>
      <c r="E263" t="s">
        <v>7</v>
      </c>
      <c r="F263" t="s">
        <v>9</v>
      </c>
      <c r="G263">
        <v>2060</v>
      </c>
      <c r="H263">
        <v>2209</v>
      </c>
      <c r="I263">
        <v>134</v>
      </c>
      <c r="J263">
        <v>360</v>
      </c>
      <c r="K263">
        <v>1</v>
      </c>
      <c r="L263" t="s">
        <v>4</v>
      </c>
      <c r="M263" t="s">
        <v>39</v>
      </c>
      <c r="N263" s="6">
        <f t="shared" ca="1" si="4"/>
        <v>43593</v>
      </c>
    </row>
    <row r="264" spans="1:14">
      <c r="A264" t="s">
        <v>302</v>
      </c>
      <c r="B264" t="s">
        <v>8</v>
      </c>
      <c r="C264" t="s">
        <v>9</v>
      </c>
      <c r="D264">
        <v>1</v>
      </c>
      <c r="E264" t="s">
        <v>7</v>
      </c>
      <c r="F264" t="s">
        <v>9</v>
      </c>
      <c r="G264">
        <v>3481</v>
      </c>
      <c r="H264">
        <v>0</v>
      </c>
      <c r="I264">
        <v>155</v>
      </c>
      <c r="J264">
        <v>36</v>
      </c>
      <c r="K264">
        <v>1</v>
      </c>
      <c r="L264" t="s">
        <v>4</v>
      </c>
      <c r="M264" t="s">
        <v>41</v>
      </c>
      <c r="N264" s="6">
        <f t="shared" ca="1" si="4"/>
        <v>43734</v>
      </c>
    </row>
    <row r="265" spans="1:14">
      <c r="A265" t="s">
        <v>303</v>
      </c>
      <c r="B265" t="s">
        <v>8</v>
      </c>
      <c r="C265" t="s">
        <v>9</v>
      </c>
      <c r="D265">
        <v>0</v>
      </c>
      <c r="E265" t="s">
        <v>7</v>
      </c>
      <c r="F265" t="s">
        <v>9</v>
      </c>
      <c r="G265">
        <v>7200</v>
      </c>
      <c r="H265">
        <v>0</v>
      </c>
      <c r="I265">
        <v>2120</v>
      </c>
      <c r="J265">
        <v>360</v>
      </c>
      <c r="K265">
        <v>1</v>
      </c>
      <c r="L265" t="s">
        <v>3</v>
      </c>
      <c r="M265" t="s">
        <v>39</v>
      </c>
      <c r="N265" s="6">
        <f t="shared" ca="1" si="4"/>
        <v>43660</v>
      </c>
    </row>
    <row r="266" spans="1:14">
      <c r="A266" t="s">
        <v>304</v>
      </c>
      <c r="B266" t="s">
        <v>23</v>
      </c>
      <c r="C266" t="s">
        <v>9</v>
      </c>
      <c r="D266">
        <v>0</v>
      </c>
      <c r="E266" t="s">
        <v>7</v>
      </c>
      <c r="F266" t="s">
        <v>10</v>
      </c>
      <c r="G266">
        <v>5166</v>
      </c>
      <c r="H266">
        <v>0</v>
      </c>
      <c r="I266">
        <v>128</v>
      </c>
      <c r="J266">
        <v>360</v>
      </c>
      <c r="K266">
        <v>1</v>
      </c>
      <c r="L266" t="s">
        <v>4</v>
      </c>
      <c r="M266" t="s">
        <v>39</v>
      </c>
      <c r="N266" s="6">
        <f t="shared" ca="1" si="4"/>
        <v>43512</v>
      </c>
    </row>
    <row r="267" spans="1:14">
      <c r="A267" t="s">
        <v>305</v>
      </c>
      <c r="B267" t="s">
        <v>23</v>
      </c>
      <c r="C267" t="s">
        <v>9</v>
      </c>
      <c r="D267">
        <v>0</v>
      </c>
      <c r="E267" t="s">
        <v>7</v>
      </c>
      <c r="F267" t="s">
        <v>9</v>
      </c>
      <c r="G267">
        <v>4095</v>
      </c>
      <c r="H267">
        <v>3447</v>
      </c>
      <c r="I267">
        <v>151</v>
      </c>
      <c r="J267">
        <v>360</v>
      </c>
      <c r="K267">
        <v>1</v>
      </c>
      <c r="L267" t="s">
        <v>3</v>
      </c>
      <c r="M267" t="s">
        <v>39</v>
      </c>
      <c r="N267" s="6">
        <f t="shared" ca="1" si="4"/>
        <v>43485</v>
      </c>
    </row>
    <row r="268" spans="1:14">
      <c r="A268" t="s">
        <v>306</v>
      </c>
      <c r="B268" t="s">
        <v>23</v>
      </c>
      <c r="C268" t="s">
        <v>10</v>
      </c>
      <c r="D268">
        <v>2</v>
      </c>
      <c r="E268" t="s">
        <v>7</v>
      </c>
      <c r="F268" t="s">
        <v>9</v>
      </c>
      <c r="G268">
        <v>4708</v>
      </c>
      <c r="H268">
        <v>1387</v>
      </c>
      <c r="I268">
        <v>150</v>
      </c>
      <c r="J268">
        <v>360</v>
      </c>
      <c r="K268">
        <v>1</v>
      </c>
      <c r="L268" t="s">
        <v>4</v>
      </c>
      <c r="M268" t="s">
        <v>39</v>
      </c>
      <c r="N268" s="6">
        <f t="shared" ca="1" si="4"/>
        <v>43697</v>
      </c>
    </row>
    <row r="269" spans="1:14">
      <c r="A269" t="s">
        <v>307</v>
      </c>
      <c r="B269" t="s">
        <v>23</v>
      </c>
      <c r="C269" t="s">
        <v>10</v>
      </c>
      <c r="D269">
        <v>3</v>
      </c>
      <c r="E269" t="s">
        <v>7</v>
      </c>
      <c r="F269" t="s">
        <v>9</v>
      </c>
      <c r="G269">
        <v>4333</v>
      </c>
      <c r="H269">
        <v>1811</v>
      </c>
      <c r="I269">
        <v>1600</v>
      </c>
      <c r="J269">
        <v>360</v>
      </c>
      <c r="K269">
        <v>0</v>
      </c>
      <c r="L269" t="s">
        <v>5</v>
      </c>
      <c r="M269" t="s">
        <v>39</v>
      </c>
      <c r="N269" s="6">
        <f t="shared" ca="1" si="4"/>
        <v>43663</v>
      </c>
    </row>
    <row r="270" spans="1:14">
      <c r="A270" t="s">
        <v>308</v>
      </c>
      <c r="B270" t="s">
        <v>8</v>
      </c>
      <c r="C270" t="s">
        <v>9</v>
      </c>
      <c r="D270">
        <v>0</v>
      </c>
      <c r="E270" t="s">
        <v>7</v>
      </c>
      <c r="F270" t="s">
        <v>20</v>
      </c>
      <c r="G270">
        <v>3418</v>
      </c>
      <c r="H270">
        <v>0</v>
      </c>
      <c r="I270">
        <v>135</v>
      </c>
      <c r="J270">
        <v>360</v>
      </c>
      <c r="K270">
        <v>1</v>
      </c>
      <c r="L270" t="s">
        <v>3</v>
      </c>
      <c r="M270" t="s">
        <v>41</v>
      </c>
      <c r="N270" s="6">
        <f t="shared" ca="1" si="4"/>
        <v>43775</v>
      </c>
    </row>
    <row r="271" spans="1:14">
      <c r="A271" t="s">
        <v>309</v>
      </c>
      <c r="B271" t="s">
        <v>8</v>
      </c>
      <c r="C271" t="s">
        <v>9</v>
      </c>
      <c r="D271">
        <v>1</v>
      </c>
      <c r="E271" t="s">
        <v>7</v>
      </c>
      <c r="F271" t="s">
        <v>9</v>
      </c>
      <c r="G271">
        <v>2876</v>
      </c>
      <c r="H271">
        <v>1560</v>
      </c>
      <c r="I271">
        <v>90</v>
      </c>
      <c r="J271">
        <v>360</v>
      </c>
      <c r="K271">
        <v>1</v>
      </c>
      <c r="L271" t="s">
        <v>5</v>
      </c>
      <c r="M271" t="s">
        <v>39</v>
      </c>
      <c r="N271" s="6">
        <f t="shared" ca="1" si="4"/>
        <v>43485</v>
      </c>
    </row>
    <row r="272" spans="1:14">
      <c r="A272" t="s">
        <v>310</v>
      </c>
      <c r="B272" t="s">
        <v>8</v>
      </c>
      <c r="C272" t="s">
        <v>9</v>
      </c>
      <c r="D272">
        <v>0</v>
      </c>
      <c r="E272" t="s">
        <v>7</v>
      </c>
      <c r="F272" t="s">
        <v>9</v>
      </c>
      <c r="G272">
        <v>3237</v>
      </c>
      <c r="H272">
        <v>0</v>
      </c>
      <c r="I272">
        <v>3000</v>
      </c>
      <c r="J272">
        <v>360</v>
      </c>
      <c r="K272">
        <v>1</v>
      </c>
      <c r="L272" t="s">
        <v>5</v>
      </c>
      <c r="M272" t="s">
        <v>39</v>
      </c>
      <c r="N272" s="6">
        <f t="shared" ca="1" si="4"/>
        <v>43804</v>
      </c>
    </row>
    <row r="273" spans="1:14">
      <c r="A273" t="s">
        <v>311</v>
      </c>
      <c r="B273" t="s">
        <v>23</v>
      </c>
      <c r="C273" t="s">
        <v>10</v>
      </c>
      <c r="D273">
        <v>0</v>
      </c>
      <c r="E273" t="s">
        <v>7</v>
      </c>
      <c r="F273" t="s">
        <v>9</v>
      </c>
      <c r="G273">
        <v>11146</v>
      </c>
      <c r="H273">
        <v>0</v>
      </c>
      <c r="I273">
        <v>136</v>
      </c>
      <c r="J273">
        <v>360</v>
      </c>
      <c r="K273">
        <v>1</v>
      </c>
      <c r="L273" t="s">
        <v>5</v>
      </c>
      <c r="M273" t="s">
        <v>39</v>
      </c>
      <c r="N273" s="6">
        <f t="shared" ca="1" si="4"/>
        <v>43675</v>
      </c>
    </row>
    <row r="274" spans="1:14">
      <c r="A274" t="s">
        <v>312</v>
      </c>
      <c r="B274" t="s">
        <v>23</v>
      </c>
      <c r="C274" t="s">
        <v>9</v>
      </c>
      <c r="D274">
        <v>0</v>
      </c>
      <c r="E274" t="s">
        <v>7</v>
      </c>
      <c r="F274" t="s">
        <v>9</v>
      </c>
      <c r="G274">
        <v>2833</v>
      </c>
      <c r="H274">
        <v>1857</v>
      </c>
      <c r="I274">
        <v>12600</v>
      </c>
      <c r="J274">
        <v>360</v>
      </c>
      <c r="K274">
        <v>1</v>
      </c>
      <c r="L274" t="s">
        <v>3</v>
      </c>
      <c r="M274" t="s">
        <v>39</v>
      </c>
      <c r="N274" s="6">
        <f t="shared" ca="1" si="4"/>
        <v>43672</v>
      </c>
    </row>
    <row r="275" spans="1:14">
      <c r="A275" t="s">
        <v>313</v>
      </c>
      <c r="B275" t="s">
        <v>23</v>
      </c>
      <c r="C275" t="s">
        <v>10</v>
      </c>
      <c r="D275">
        <v>0</v>
      </c>
      <c r="E275" t="s">
        <v>7</v>
      </c>
      <c r="F275" t="s">
        <v>9</v>
      </c>
      <c r="G275">
        <v>2620</v>
      </c>
      <c r="H275">
        <v>2223</v>
      </c>
      <c r="I275">
        <v>150</v>
      </c>
      <c r="J275">
        <v>360</v>
      </c>
      <c r="K275">
        <v>1</v>
      </c>
      <c r="L275" t="s">
        <v>4</v>
      </c>
      <c r="M275" t="s">
        <v>39</v>
      </c>
      <c r="N275" s="6">
        <f t="shared" ca="1" si="4"/>
        <v>43476</v>
      </c>
    </row>
    <row r="276" spans="1:14">
      <c r="A276" t="s">
        <v>314</v>
      </c>
      <c r="B276" t="s">
        <v>23</v>
      </c>
      <c r="C276" t="s">
        <v>10</v>
      </c>
      <c r="D276">
        <v>2</v>
      </c>
      <c r="E276" t="s">
        <v>7</v>
      </c>
      <c r="F276" t="s">
        <v>9</v>
      </c>
      <c r="G276">
        <v>3900</v>
      </c>
      <c r="H276">
        <v>0</v>
      </c>
      <c r="I276">
        <v>90</v>
      </c>
      <c r="J276">
        <v>360</v>
      </c>
      <c r="K276">
        <v>1</v>
      </c>
      <c r="L276" t="s">
        <v>4</v>
      </c>
      <c r="M276" t="s">
        <v>39</v>
      </c>
      <c r="N276" s="6">
        <f t="shared" ca="1" si="4"/>
        <v>43726</v>
      </c>
    </row>
    <row r="277" spans="1:14">
      <c r="A277" t="s">
        <v>315</v>
      </c>
      <c r="B277" t="s">
        <v>23</v>
      </c>
      <c r="C277" t="s">
        <v>10</v>
      </c>
      <c r="D277">
        <v>1</v>
      </c>
      <c r="E277" t="s">
        <v>7</v>
      </c>
      <c r="F277" t="s">
        <v>9</v>
      </c>
      <c r="G277">
        <v>2750</v>
      </c>
      <c r="H277">
        <v>1842</v>
      </c>
      <c r="I277">
        <v>115</v>
      </c>
      <c r="J277">
        <v>360</v>
      </c>
      <c r="K277">
        <v>1</v>
      </c>
      <c r="L277" t="s">
        <v>4</v>
      </c>
      <c r="M277" t="s">
        <v>39</v>
      </c>
      <c r="N277" s="6">
        <f t="shared" ca="1" si="4"/>
        <v>43818</v>
      </c>
    </row>
    <row r="278" spans="1:14">
      <c r="A278" t="s">
        <v>316</v>
      </c>
      <c r="B278" t="s">
        <v>23</v>
      </c>
      <c r="C278" t="s">
        <v>10</v>
      </c>
      <c r="D278">
        <v>0</v>
      </c>
      <c r="E278" t="s">
        <v>7</v>
      </c>
      <c r="F278" t="s">
        <v>9</v>
      </c>
      <c r="G278">
        <v>3993</v>
      </c>
      <c r="H278">
        <v>3274</v>
      </c>
      <c r="I278">
        <v>207</v>
      </c>
      <c r="J278">
        <v>360</v>
      </c>
      <c r="K278">
        <v>1</v>
      </c>
      <c r="L278" t="s">
        <v>4</v>
      </c>
      <c r="M278" t="s">
        <v>39</v>
      </c>
      <c r="N278" s="6">
        <f t="shared" ca="1" si="4"/>
        <v>43661</v>
      </c>
    </row>
    <row r="279" spans="1:14">
      <c r="A279" t="s">
        <v>317</v>
      </c>
      <c r="B279" t="s">
        <v>23</v>
      </c>
      <c r="C279" t="s">
        <v>10</v>
      </c>
      <c r="D279">
        <v>0</v>
      </c>
      <c r="E279" t="s">
        <v>7</v>
      </c>
      <c r="F279" t="s">
        <v>9</v>
      </c>
      <c r="G279">
        <v>3103</v>
      </c>
      <c r="H279">
        <v>1300</v>
      </c>
      <c r="I279">
        <v>80</v>
      </c>
      <c r="J279">
        <v>360</v>
      </c>
      <c r="K279">
        <v>1</v>
      </c>
      <c r="L279" t="s">
        <v>5</v>
      </c>
      <c r="M279" t="s">
        <v>39</v>
      </c>
      <c r="N279" s="6">
        <f t="shared" ca="1" si="4"/>
        <v>43742</v>
      </c>
    </row>
    <row r="280" spans="1:14">
      <c r="A280" t="s">
        <v>318</v>
      </c>
      <c r="B280" t="s">
        <v>23</v>
      </c>
      <c r="C280" t="s">
        <v>10</v>
      </c>
      <c r="D280">
        <v>0</v>
      </c>
      <c r="E280" t="s">
        <v>7</v>
      </c>
      <c r="F280" t="s">
        <v>9</v>
      </c>
      <c r="G280">
        <v>14583</v>
      </c>
      <c r="H280">
        <v>0</v>
      </c>
      <c r="I280">
        <v>436</v>
      </c>
      <c r="J280">
        <v>360</v>
      </c>
      <c r="K280">
        <v>1</v>
      </c>
      <c r="L280" t="s">
        <v>4</v>
      </c>
      <c r="M280" t="s">
        <v>39</v>
      </c>
      <c r="N280" s="6">
        <f t="shared" ca="1" si="4"/>
        <v>43663</v>
      </c>
    </row>
    <row r="281" spans="1:14">
      <c r="A281" t="s">
        <v>319</v>
      </c>
      <c r="B281" t="s">
        <v>8</v>
      </c>
      <c r="C281" t="s">
        <v>10</v>
      </c>
      <c r="D281">
        <v>0</v>
      </c>
      <c r="E281" t="s">
        <v>11</v>
      </c>
      <c r="F281" t="s">
        <v>9</v>
      </c>
      <c r="G281">
        <v>4100</v>
      </c>
      <c r="H281">
        <v>0</v>
      </c>
      <c r="I281">
        <v>124</v>
      </c>
      <c r="J281">
        <v>360</v>
      </c>
      <c r="L281" t="s">
        <v>3</v>
      </c>
      <c r="M281" t="s">
        <v>39</v>
      </c>
      <c r="N281" s="6">
        <f t="shared" ca="1" si="4"/>
        <v>43549</v>
      </c>
    </row>
    <row r="282" spans="1:14">
      <c r="A282" t="s">
        <v>320</v>
      </c>
      <c r="B282" t="s">
        <v>23</v>
      </c>
      <c r="C282" t="s">
        <v>9</v>
      </c>
      <c r="D282">
        <v>1</v>
      </c>
      <c r="E282" t="s">
        <v>11</v>
      </c>
      <c r="F282" t="s">
        <v>10</v>
      </c>
      <c r="G282">
        <v>4053</v>
      </c>
      <c r="H282">
        <v>2426</v>
      </c>
      <c r="I282">
        <v>158</v>
      </c>
      <c r="J282">
        <v>360</v>
      </c>
      <c r="K282">
        <v>0</v>
      </c>
      <c r="L282" t="s">
        <v>5</v>
      </c>
      <c r="M282" t="s">
        <v>41</v>
      </c>
      <c r="N282" s="6">
        <f t="shared" ca="1" si="4"/>
        <v>43587</v>
      </c>
    </row>
    <row r="283" spans="1:14">
      <c r="A283" t="s">
        <v>321</v>
      </c>
      <c r="B283" t="s">
        <v>23</v>
      </c>
      <c r="C283" t="s">
        <v>10</v>
      </c>
      <c r="D283">
        <v>0</v>
      </c>
      <c r="E283" t="s">
        <v>7</v>
      </c>
      <c r="F283" t="s">
        <v>9</v>
      </c>
      <c r="G283">
        <v>3927</v>
      </c>
      <c r="H283">
        <v>800</v>
      </c>
      <c r="I283">
        <v>1120</v>
      </c>
      <c r="J283">
        <v>360</v>
      </c>
      <c r="K283">
        <v>1</v>
      </c>
      <c r="L283" t="s">
        <v>4</v>
      </c>
      <c r="M283" t="s">
        <v>39</v>
      </c>
      <c r="N283" s="6">
        <f t="shared" ca="1" si="4"/>
        <v>43732</v>
      </c>
    </row>
    <row r="284" spans="1:14">
      <c r="A284" t="s">
        <v>322</v>
      </c>
      <c r="B284" t="s">
        <v>23</v>
      </c>
      <c r="C284" t="s">
        <v>10</v>
      </c>
      <c r="D284">
        <v>2</v>
      </c>
      <c r="E284" t="s">
        <v>7</v>
      </c>
      <c r="F284" t="s">
        <v>9</v>
      </c>
      <c r="G284">
        <v>2301</v>
      </c>
      <c r="H284">
        <v>986</v>
      </c>
      <c r="I284">
        <v>78</v>
      </c>
      <c r="J284">
        <v>180</v>
      </c>
      <c r="K284">
        <v>1</v>
      </c>
      <c r="L284" t="s">
        <v>5</v>
      </c>
      <c r="M284" t="s">
        <v>39</v>
      </c>
      <c r="N284" s="6">
        <f t="shared" ca="1" si="4"/>
        <v>43683</v>
      </c>
    </row>
    <row r="285" spans="1:14">
      <c r="A285" t="s">
        <v>323</v>
      </c>
      <c r="B285" t="s">
        <v>8</v>
      </c>
      <c r="C285" t="s">
        <v>9</v>
      </c>
      <c r="D285">
        <v>0</v>
      </c>
      <c r="E285" t="s">
        <v>7</v>
      </c>
      <c r="F285" t="s">
        <v>9</v>
      </c>
      <c r="G285">
        <v>1811</v>
      </c>
      <c r="H285">
        <v>1666</v>
      </c>
      <c r="I285">
        <v>54</v>
      </c>
      <c r="J285">
        <v>360</v>
      </c>
      <c r="K285">
        <v>1</v>
      </c>
      <c r="L285" t="s">
        <v>5</v>
      </c>
      <c r="M285" t="s">
        <v>39</v>
      </c>
      <c r="N285" s="6">
        <f t="shared" ca="1" si="4"/>
        <v>43759</v>
      </c>
    </row>
    <row r="286" spans="1:14">
      <c r="A286" t="s">
        <v>324</v>
      </c>
      <c r="B286" t="s">
        <v>23</v>
      </c>
      <c r="C286" t="s">
        <v>10</v>
      </c>
      <c r="D286">
        <v>0</v>
      </c>
      <c r="E286" t="s">
        <v>7</v>
      </c>
      <c r="F286" t="s">
        <v>9</v>
      </c>
      <c r="G286">
        <v>20667</v>
      </c>
      <c r="H286">
        <v>0</v>
      </c>
      <c r="J286">
        <v>360</v>
      </c>
      <c r="K286">
        <v>1</v>
      </c>
      <c r="L286" t="s">
        <v>3</v>
      </c>
      <c r="M286" t="s">
        <v>41</v>
      </c>
      <c r="N286" s="6">
        <f t="shared" ca="1" si="4"/>
        <v>43688</v>
      </c>
    </row>
    <row r="287" spans="1:14">
      <c r="A287" t="s">
        <v>325</v>
      </c>
      <c r="B287" t="s">
        <v>23</v>
      </c>
      <c r="C287" t="s">
        <v>9</v>
      </c>
      <c r="D287">
        <v>0</v>
      </c>
      <c r="E287" t="s">
        <v>7</v>
      </c>
      <c r="F287" t="s">
        <v>9</v>
      </c>
      <c r="G287">
        <v>3158</v>
      </c>
      <c r="H287">
        <v>3053</v>
      </c>
      <c r="I287">
        <v>89</v>
      </c>
      <c r="J287">
        <v>360</v>
      </c>
      <c r="K287">
        <v>1</v>
      </c>
      <c r="L287" t="s">
        <v>3</v>
      </c>
      <c r="M287" t="s">
        <v>39</v>
      </c>
      <c r="N287" s="6">
        <f t="shared" ca="1" si="4"/>
        <v>43599</v>
      </c>
    </row>
    <row r="288" spans="1:14">
      <c r="A288" t="s">
        <v>326</v>
      </c>
      <c r="B288" t="s">
        <v>8</v>
      </c>
      <c r="C288" t="s">
        <v>9</v>
      </c>
      <c r="D288">
        <v>0</v>
      </c>
      <c r="E288" t="s">
        <v>7</v>
      </c>
      <c r="F288" t="s">
        <v>10</v>
      </c>
      <c r="G288">
        <v>2600</v>
      </c>
      <c r="H288">
        <v>1717</v>
      </c>
      <c r="I288">
        <v>99</v>
      </c>
      <c r="J288">
        <v>300</v>
      </c>
      <c r="K288">
        <v>1</v>
      </c>
      <c r="L288" t="s">
        <v>4</v>
      </c>
      <c r="M288" t="s">
        <v>41</v>
      </c>
      <c r="N288" s="6">
        <f t="shared" ca="1" si="4"/>
        <v>43740</v>
      </c>
    </row>
    <row r="289" spans="1:14">
      <c r="A289" t="s">
        <v>327</v>
      </c>
      <c r="B289" t="s">
        <v>23</v>
      </c>
      <c r="C289" t="s">
        <v>10</v>
      </c>
      <c r="D289">
        <v>0</v>
      </c>
      <c r="E289" t="s">
        <v>7</v>
      </c>
      <c r="F289" t="s">
        <v>9</v>
      </c>
      <c r="G289">
        <v>3704</v>
      </c>
      <c r="H289">
        <v>2000</v>
      </c>
      <c r="I289">
        <v>120000</v>
      </c>
      <c r="J289">
        <v>360</v>
      </c>
      <c r="K289">
        <v>1</v>
      </c>
      <c r="L289" t="s">
        <v>3</v>
      </c>
      <c r="M289" t="s">
        <v>39</v>
      </c>
      <c r="N289" s="6">
        <f t="shared" ca="1" si="4"/>
        <v>43595</v>
      </c>
    </row>
    <row r="290" spans="1:14">
      <c r="A290" t="s">
        <v>328</v>
      </c>
      <c r="B290" t="s">
        <v>8</v>
      </c>
      <c r="C290" t="s">
        <v>9</v>
      </c>
      <c r="D290">
        <v>0</v>
      </c>
      <c r="E290" t="s">
        <v>7</v>
      </c>
      <c r="F290" t="s">
        <v>9</v>
      </c>
      <c r="G290">
        <v>4124</v>
      </c>
      <c r="H290">
        <v>0</v>
      </c>
      <c r="I290">
        <v>115</v>
      </c>
      <c r="J290">
        <v>360</v>
      </c>
      <c r="K290">
        <v>1</v>
      </c>
      <c r="L290" t="s">
        <v>4</v>
      </c>
      <c r="M290" t="s">
        <v>39</v>
      </c>
      <c r="N290" s="6">
        <f t="shared" ca="1" si="4"/>
        <v>43517</v>
      </c>
    </row>
    <row r="291" spans="1:14">
      <c r="A291" t="s">
        <v>329</v>
      </c>
      <c r="B291" t="s">
        <v>23</v>
      </c>
      <c r="C291" t="s">
        <v>9</v>
      </c>
      <c r="D291">
        <v>0</v>
      </c>
      <c r="E291" t="s">
        <v>7</v>
      </c>
      <c r="F291" t="s">
        <v>9</v>
      </c>
      <c r="G291">
        <v>9508</v>
      </c>
      <c r="H291">
        <v>0</v>
      </c>
      <c r="I291">
        <v>187</v>
      </c>
      <c r="J291">
        <v>360</v>
      </c>
      <c r="K291">
        <v>1</v>
      </c>
      <c r="L291" t="s">
        <v>3</v>
      </c>
      <c r="M291" t="s">
        <v>39</v>
      </c>
      <c r="N291" s="6">
        <f t="shared" ca="1" si="4"/>
        <v>43502</v>
      </c>
    </row>
    <row r="292" spans="1:14">
      <c r="A292" t="s">
        <v>330</v>
      </c>
      <c r="B292" t="s">
        <v>23</v>
      </c>
      <c r="C292" t="s">
        <v>10</v>
      </c>
      <c r="D292">
        <v>0</v>
      </c>
      <c r="E292" t="s">
        <v>7</v>
      </c>
      <c r="F292" t="s">
        <v>9</v>
      </c>
      <c r="G292">
        <v>3075</v>
      </c>
      <c r="H292">
        <v>2416</v>
      </c>
      <c r="I292">
        <v>139</v>
      </c>
      <c r="J292">
        <v>360</v>
      </c>
      <c r="K292">
        <v>1</v>
      </c>
      <c r="L292" t="s">
        <v>3</v>
      </c>
      <c r="M292" t="s">
        <v>39</v>
      </c>
      <c r="N292" s="6">
        <f t="shared" ca="1" si="4"/>
        <v>43647</v>
      </c>
    </row>
    <row r="293" spans="1:14">
      <c r="A293" t="s">
        <v>331</v>
      </c>
      <c r="B293" t="s">
        <v>23</v>
      </c>
      <c r="C293" t="s">
        <v>10</v>
      </c>
      <c r="D293">
        <v>2</v>
      </c>
      <c r="E293" t="s">
        <v>7</v>
      </c>
      <c r="F293" t="s">
        <v>9</v>
      </c>
      <c r="G293">
        <v>4400</v>
      </c>
      <c r="H293">
        <v>0</v>
      </c>
      <c r="I293">
        <v>127</v>
      </c>
      <c r="J293">
        <v>360</v>
      </c>
      <c r="K293">
        <v>0</v>
      </c>
      <c r="L293" t="s">
        <v>4</v>
      </c>
      <c r="M293" t="s">
        <v>41</v>
      </c>
      <c r="N293" s="6">
        <f t="shared" ca="1" si="4"/>
        <v>43773</v>
      </c>
    </row>
    <row r="294" spans="1:14">
      <c r="A294" t="s">
        <v>332</v>
      </c>
      <c r="B294" t="s">
        <v>23</v>
      </c>
      <c r="C294" t="s">
        <v>10</v>
      </c>
      <c r="D294">
        <v>2</v>
      </c>
      <c r="E294" t="s">
        <v>7</v>
      </c>
      <c r="F294" t="s">
        <v>9</v>
      </c>
      <c r="G294">
        <v>3153</v>
      </c>
      <c r="H294">
        <v>1560</v>
      </c>
      <c r="I294">
        <v>134</v>
      </c>
      <c r="J294">
        <v>360</v>
      </c>
      <c r="K294">
        <v>1</v>
      </c>
      <c r="L294" t="s">
        <v>5</v>
      </c>
      <c r="M294" t="s">
        <v>39</v>
      </c>
      <c r="N294" s="6">
        <f t="shared" ca="1" si="4"/>
        <v>43607</v>
      </c>
    </row>
    <row r="295" spans="1:14">
      <c r="A295" t="s">
        <v>333</v>
      </c>
      <c r="B295" t="s">
        <v>8</v>
      </c>
      <c r="C295" t="s">
        <v>9</v>
      </c>
      <c r="E295" t="s">
        <v>7</v>
      </c>
      <c r="F295" t="s">
        <v>9</v>
      </c>
      <c r="G295">
        <v>5417</v>
      </c>
      <c r="H295">
        <v>0</v>
      </c>
      <c r="I295">
        <v>143</v>
      </c>
      <c r="J295">
        <v>480</v>
      </c>
      <c r="K295">
        <v>0</v>
      </c>
      <c r="L295" t="s">
        <v>5</v>
      </c>
      <c r="M295" t="s">
        <v>41</v>
      </c>
      <c r="N295" s="6">
        <f t="shared" ca="1" si="4"/>
        <v>43596</v>
      </c>
    </row>
    <row r="296" spans="1:14">
      <c r="A296" t="s">
        <v>334</v>
      </c>
      <c r="B296" t="s">
        <v>23</v>
      </c>
      <c r="C296" t="s">
        <v>10</v>
      </c>
      <c r="D296">
        <v>0</v>
      </c>
      <c r="E296" t="s">
        <v>7</v>
      </c>
      <c r="F296" t="s">
        <v>9</v>
      </c>
      <c r="G296">
        <v>2383</v>
      </c>
      <c r="H296">
        <v>3334</v>
      </c>
      <c r="I296">
        <v>172</v>
      </c>
      <c r="J296">
        <v>360</v>
      </c>
      <c r="K296">
        <v>1</v>
      </c>
      <c r="L296" t="s">
        <v>4</v>
      </c>
      <c r="M296" t="s">
        <v>39</v>
      </c>
      <c r="N296" s="6">
        <f t="shared" ca="1" si="4"/>
        <v>43827</v>
      </c>
    </row>
    <row r="297" spans="1:14">
      <c r="A297" t="s">
        <v>335</v>
      </c>
      <c r="B297" t="s">
        <v>23</v>
      </c>
      <c r="C297" t="s">
        <v>10</v>
      </c>
      <c r="D297">
        <v>3</v>
      </c>
      <c r="E297" t="s">
        <v>7</v>
      </c>
      <c r="F297" t="s">
        <v>20</v>
      </c>
      <c r="G297">
        <v>4416</v>
      </c>
      <c r="H297">
        <v>1250</v>
      </c>
      <c r="I297">
        <v>110</v>
      </c>
      <c r="J297">
        <v>360</v>
      </c>
      <c r="K297">
        <v>1</v>
      </c>
      <c r="L297" t="s">
        <v>5</v>
      </c>
      <c r="M297" t="s">
        <v>39</v>
      </c>
      <c r="N297" s="6">
        <f t="shared" ca="1" si="4"/>
        <v>43829</v>
      </c>
    </row>
    <row r="298" spans="1:14">
      <c r="A298" t="s">
        <v>336</v>
      </c>
      <c r="B298" t="s">
        <v>23</v>
      </c>
      <c r="C298" t="s">
        <v>10</v>
      </c>
      <c r="D298">
        <v>1</v>
      </c>
      <c r="E298" t="s">
        <v>7</v>
      </c>
      <c r="F298" t="s">
        <v>9</v>
      </c>
      <c r="G298">
        <v>6875</v>
      </c>
      <c r="H298">
        <v>0</v>
      </c>
      <c r="I298">
        <v>200</v>
      </c>
      <c r="J298">
        <v>360</v>
      </c>
      <c r="K298">
        <v>1</v>
      </c>
      <c r="L298" t="s">
        <v>4</v>
      </c>
      <c r="M298" t="s">
        <v>39</v>
      </c>
      <c r="N298" s="6">
        <f t="shared" ca="1" si="4"/>
        <v>43648</v>
      </c>
    </row>
    <row r="299" spans="1:14">
      <c r="A299" t="s">
        <v>337</v>
      </c>
      <c r="B299" t="s">
        <v>8</v>
      </c>
      <c r="C299" t="s">
        <v>10</v>
      </c>
      <c r="D299">
        <v>1</v>
      </c>
      <c r="E299" t="s">
        <v>7</v>
      </c>
      <c r="F299" t="s">
        <v>9</v>
      </c>
      <c r="G299">
        <v>4666</v>
      </c>
      <c r="H299">
        <v>0</v>
      </c>
      <c r="I299">
        <v>135</v>
      </c>
      <c r="J299">
        <v>360</v>
      </c>
      <c r="K299">
        <v>1</v>
      </c>
      <c r="L299" t="s">
        <v>5</v>
      </c>
      <c r="M299" t="s">
        <v>39</v>
      </c>
      <c r="N299" s="6">
        <f t="shared" ca="1" si="4"/>
        <v>43723</v>
      </c>
    </row>
    <row r="300" spans="1:14">
      <c r="A300" t="s">
        <v>338</v>
      </c>
      <c r="B300" t="s">
        <v>8</v>
      </c>
      <c r="C300" t="s">
        <v>9</v>
      </c>
      <c r="D300">
        <v>0</v>
      </c>
      <c r="E300" t="s">
        <v>7</v>
      </c>
      <c r="F300" t="s">
        <v>9</v>
      </c>
      <c r="G300">
        <v>5000</v>
      </c>
      <c r="H300">
        <v>2541</v>
      </c>
      <c r="I300">
        <v>151</v>
      </c>
      <c r="J300">
        <v>480</v>
      </c>
      <c r="K300">
        <v>1</v>
      </c>
      <c r="L300" t="s">
        <v>3</v>
      </c>
      <c r="M300" t="s">
        <v>41</v>
      </c>
      <c r="N300" s="6">
        <f t="shared" ca="1" si="4"/>
        <v>43608</v>
      </c>
    </row>
    <row r="301" spans="1:14">
      <c r="A301" t="s">
        <v>339</v>
      </c>
      <c r="B301" t="s">
        <v>23</v>
      </c>
      <c r="C301" t="s">
        <v>10</v>
      </c>
      <c r="D301">
        <v>1</v>
      </c>
      <c r="E301" t="s">
        <v>7</v>
      </c>
      <c r="F301" t="s">
        <v>9</v>
      </c>
      <c r="G301">
        <v>2014</v>
      </c>
      <c r="H301">
        <v>2925</v>
      </c>
      <c r="I301">
        <v>113</v>
      </c>
      <c r="J301">
        <v>360</v>
      </c>
      <c r="K301">
        <v>1</v>
      </c>
      <c r="L301" t="s">
        <v>5</v>
      </c>
      <c r="M301" t="s">
        <v>41</v>
      </c>
      <c r="N301" s="6">
        <f t="shared" ca="1" si="4"/>
        <v>43648</v>
      </c>
    </row>
    <row r="302" spans="1:14">
      <c r="A302" t="s">
        <v>340</v>
      </c>
      <c r="B302" t="s">
        <v>23</v>
      </c>
      <c r="C302" t="s">
        <v>10</v>
      </c>
      <c r="D302">
        <v>0</v>
      </c>
      <c r="E302" t="s">
        <v>11</v>
      </c>
      <c r="F302" t="s">
        <v>9</v>
      </c>
      <c r="G302">
        <v>1800</v>
      </c>
      <c r="H302">
        <v>2934</v>
      </c>
      <c r="I302">
        <v>93</v>
      </c>
      <c r="J302">
        <v>360</v>
      </c>
      <c r="K302">
        <v>0</v>
      </c>
      <c r="L302" t="s">
        <v>5</v>
      </c>
      <c r="M302" t="s">
        <v>41</v>
      </c>
      <c r="N302" s="6">
        <f t="shared" ca="1" si="4"/>
        <v>43533</v>
      </c>
    </row>
    <row r="303" spans="1:14">
      <c r="A303" t="s">
        <v>341</v>
      </c>
      <c r="B303" t="s">
        <v>23</v>
      </c>
      <c r="C303" t="s">
        <v>10</v>
      </c>
      <c r="E303" t="s">
        <v>11</v>
      </c>
      <c r="F303" t="s">
        <v>9</v>
      </c>
      <c r="G303">
        <v>2875</v>
      </c>
      <c r="H303">
        <v>1750</v>
      </c>
      <c r="I303">
        <v>105</v>
      </c>
      <c r="J303">
        <v>360</v>
      </c>
      <c r="K303">
        <v>1</v>
      </c>
      <c r="L303" t="s">
        <v>4</v>
      </c>
      <c r="M303" t="s">
        <v>39</v>
      </c>
      <c r="N303" s="6">
        <f t="shared" ca="1" si="4"/>
        <v>43812</v>
      </c>
    </row>
    <row r="304" spans="1:14">
      <c r="A304" t="s">
        <v>342</v>
      </c>
      <c r="B304" t="s">
        <v>8</v>
      </c>
      <c r="C304" t="s">
        <v>9</v>
      </c>
      <c r="D304">
        <v>0</v>
      </c>
      <c r="E304" t="s">
        <v>7</v>
      </c>
      <c r="F304" t="s">
        <v>9</v>
      </c>
      <c r="G304">
        <v>5000</v>
      </c>
      <c r="H304">
        <v>0</v>
      </c>
      <c r="I304">
        <v>132</v>
      </c>
      <c r="J304">
        <v>360</v>
      </c>
      <c r="K304">
        <v>1</v>
      </c>
      <c r="L304" t="s">
        <v>3</v>
      </c>
      <c r="M304" t="s">
        <v>39</v>
      </c>
      <c r="N304" s="6">
        <f t="shared" ca="1" si="4"/>
        <v>43519</v>
      </c>
    </row>
    <row r="305" spans="1:14">
      <c r="A305" t="s">
        <v>343</v>
      </c>
      <c r="B305" t="s">
        <v>23</v>
      </c>
      <c r="C305" t="s">
        <v>10</v>
      </c>
      <c r="D305">
        <v>1</v>
      </c>
      <c r="E305" t="s">
        <v>7</v>
      </c>
      <c r="F305" t="s">
        <v>9</v>
      </c>
      <c r="G305">
        <v>1625</v>
      </c>
      <c r="H305">
        <v>1803</v>
      </c>
      <c r="I305">
        <v>9600</v>
      </c>
      <c r="J305">
        <v>360</v>
      </c>
      <c r="K305">
        <v>1</v>
      </c>
      <c r="L305" t="s">
        <v>5</v>
      </c>
      <c r="M305" t="s">
        <v>39</v>
      </c>
      <c r="N305" s="6">
        <f t="shared" ca="1" si="4"/>
        <v>43594</v>
      </c>
    </row>
    <row r="306" spans="1:14">
      <c r="A306" t="s">
        <v>344</v>
      </c>
      <c r="B306" t="s">
        <v>23</v>
      </c>
      <c r="C306" t="s">
        <v>9</v>
      </c>
      <c r="D306">
        <v>0</v>
      </c>
      <c r="E306" t="s">
        <v>7</v>
      </c>
      <c r="F306" t="s">
        <v>9</v>
      </c>
      <c r="G306">
        <v>4000</v>
      </c>
      <c r="H306">
        <v>2500</v>
      </c>
      <c r="I306">
        <v>140</v>
      </c>
      <c r="J306">
        <v>360</v>
      </c>
      <c r="K306">
        <v>1</v>
      </c>
      <c r="L306" t="s">
        <v>3</v>
      </c>
      <c r="M306" t="s">
        <v>39</v>
      </c>
      <c r="N306" s="6">
        <f t="shared" ca="1" si="4"/>
        <v>43573</v>
      </c>
    </row>
    <row r="307" spans="1:14">
      <c r="A307" t="s">
        <v>345</v>
      </c>
      <c r="B307" t="s">
        <v>23</v>
      </c>
      <c r="C307" t="s">
        <v>9</v>
      </c>
      <c r="D307">
        <v>0</v>
      </c>
      <c r="E307" t="s">
        <v>11</v>
      </c>
      <c r="F307" t="s">
        <v>9</v>
      </c>
      <c r="G307">
        <v>2000</v>
      </c>
      <c r="H307">
        <v>0</v>
      </c>
      <c r="J307">
        <v>360</v>
      </c>
      <c r="K307">
        <v>1</v>
      </c>
      <c r="L307" t="s">
        <v>5</v>
      </c>
      <c r="M307" t="s">
        <v>41</v>
      </c>
      <c r="N307" s="6">
        <f t="shared" ca="1" si="4"/>
        <v>43598</v>
      </c>
    </row>
    <row r="308" spans="1:14">
      <c r="A308" t="s">
        <v>346</v>
      </c>
      <c r="B308" t="s">
        <v>8</v>
      </c>
      <c r="C308" t="s">
        <v>9</v>
      </c>
      <c r="D308">
        <v>0</v>
      </c>
      <c r="E308" t="s">
        <v>7</v>
      </c>
      <c r="F308" t="s">
        <v>9</v>
      </c>
      <c r="G308">
        <v>3762</v>
      </c>
      <c r="H308">
        <v>1666</v>
      </c>
      <c r="I308">
        <v>135</v>
      </c>
      <c r="J308">
        <v>360</v>
      </c>
      <c r="K308">
        <v>1</v>
      </c>
      <c r="L308" t="s">
        <v>3</v>
      </c>
      <c r="M308" t="s">
        <v>39</v>
      </c>
      <c r="N308" s="6">
        <f t="shared" ca="1" si="4"/>
        <v>43510</v>
      </c>
    </row>
    <row r="309" spans="1:14">
      <c r="A309" t="s">
        <v>347</v>
      </c>
      <c r="B309" t="s">
        <v>8</v>
      </c>
      <c r="C309" t="s">
        <v>9</v>
      </c>
      <c r="D309">
        <v>0</v>
      </c>
      <c r="E309" t="s">
        <v>7</v>
      </c>
      <c r="F309" t="s">
        <v>9</v>
      </c>
      <c r="G309">
        <v>2400</v>
      </c>
      <c r="H309">
        <v>1863</v>
      </c>
      <c r="I309">
        <v>104</v>
      </c>
      <c r="J309">
        <v>360</v>
      </c>
      <c r="K309">
        <v>0</v>
      </c>
      <c r="L309" t="s">
        <v>5</v>
      </c>
      <c r="M309" t="s">
        <v>41</v>
      </c>
      <c r="N309" s="6">
        <f t="shared" ca="1" si="4"/>
        <v>43537</v>
      </c>
    </row>
    <row r="310" spans="1:14">
      <c r="A310" t="s">
        <v>348</v>
      </c>
      <c r="B310" t="s">
        <v>23</v>
      </c>
      <c r="C310" t="s">
        <v>9</v>
      </c>
      <c r="D310">
        <v>0</v>
      </c>
      <c r="E310" t="s">
        <v>7</v>
      </c>
      <c r="F310" t="s">
        <v>9</v>
      </c>
      <c r="G310">
        <v>20233</v>
      </c>
      <c r="H310">
        <v>0</v>
      </c>
      <c r="I310">
        <v>480</v>
      </c>
      <c r="J310">
        <v>360</v>
      </c>
      <c r="K310">
        <v>1</v>
      </c>
      <c r="L310" t="s">
        <v>3</v>
      </c>
      <c r="M310" t="s">
        <v>41</v>
      </c>
      <c r="N310" s="6">
        <f t="shared" ca="1" si="4"/>
        <v>43778</v>
      </c>
    </row>
    <row r="311" spans="1:14">
      <c r="A311" t="s">
        <v>349</v>
      </c>
      <c r="B311" t="s">
        <v>23</v>
      </c>
      <c r="C311" t="s">
        <v>10</v>
      </c>
      <c r="D311">
        <v>2</v>
      </c>
      <c r="E311" t="s">
        <v>11</v>
      </c>
      <c r="F311" t="s">
        <v>9</v>
      </c>
      <c r="G311">
        <v>7667</v>
      </c>
      <c r="H311">
        <v>0</v>
      </c>
      <c r="I311">
        <v>185</v>
      </c>
      <c r="J311">
        <v>360</v>
      </c>
      <c r="L311" t="s">
        <v>3</v>
      </c>
      <c r="M311" t="s">
        <v>39</v>
      </c>
      <c r="N311" s="6">
        <f t="shared" ca="1" si="4"/>
        <v>43553</v>
      </c>
    </row>
    <row r="312" spans="1:14">
      <c r="A312" t="s">
        <v>350</v>
      </c>
      <c r="B312" t="s">
        <v>8</v>
      </c>
      <c r="C312" t="s">
        <v>9</v>
      </c>
      <c r="D312">
        <v>0</v>
      </c>
      <c r="E312" t="s">
        <v>7</v>
      </c>
      <c r="F312" t="s">
        <v>9</v>
      </c>
      <c r="G312">
        <v>2917</v>
      </c>
      <c r="H312">
        <v>0</v>
      </c>
      <c r="I312">
        <v>84</v>
      </c>
      <c r="J312">
        <v>360</v>
      </c>
      <c r="K312">
        <v>1</v>
      </c>
      <c r="L312" t="s">
        <v>4</v>
      </c>
      <c r="M312" t="s">
        <v>39</v>
      </c>
      <c r="N312" s="6">
        <f t="shared" ca="1" si="4"/>
        <v>43773</v>
      </c>
    </row>
    <row r="313" spans="1:14">
      <c r="A313" t="s">
        <v>351</v>
      </c>
      <c r="B313" t="s">
        <v>23</v>
      </c>
      <c r="C313" t="s">
        <v>9</v>
      </c>
      <c r="D313">
        <v>0</v>
      </c>
      <c r="E313" t="s">
        <v>11</v>
      </c>
      <c r="F313" t="s">
        <v>9</v>
      </c>
      <c r="G313">
        <v>2927</v>
      </c>
      <c r="H313">
        <v>2405</v>
      </c>
      <c r="I313">
        <v>111</v>
      </c>
      <c r="J313">
        <v>360</v>
      </c>
      <c r="K313">
        <v>1</v>
      </c>
      <c r="L313" t="s">
        <v>4</v>
      </c>
      <c r="M313" t="s">
        <v>39</v>
      </c>
      <c r="N313" s="6">
        <f t="shared" ca="1" si="4"/>
        <v>43774</v>
      </c>
    </row>
    <row r="314" spans="1:14">
      <c r="A314" t="s">
        <v>352</v>
      </c>
      <c r="B314" t="s">
        <v>8</v>
      </c>
      <c r="C314" t="s">
        <v>9</v>
      </c>
      <c r="D314">
        <v>0</v>
      </c>
      <c r="E314" t="s">
        <v>7</v>
      </c>
      <c r="F314" t="s">
        <v>9</v>
      </c>
      <c r="G314">
        <v>2507</v>
      </c>
      <c r="H314">
        <v>0</v>
      </c>
      <c r="I314">
        <v>56</v>
      </c>
      <c r="J314">
        <v>360</v>
      </c>
      <c r="K314">
        <v>1</v>
      </c>
      <c r="L314" t="s">
        <v>3</v>
      </c>
      <c r="M314" t="s">
        <v>39</v>
      </c>
      <c r="N314" s="6">
        <f t="shared" ca="1" si="4"/>
        <v>43593</v>
      </c>
    </row>
    <row r="315" spans="1:14">
      <c r="A315" t="s">
        <v>353</v>
      </c>
      <c r="B315" t="s">
        <v>23</v>
      </c>
      <c r="C315" t="s">
        <v>10</v>
      </c>
      <c r="D315">
        <v>2</v>
      </c>
      <c r="E315" t="s">
        <v>7</v>
      </c>
      <c r="F315" t="s">
        <v>10</v>
      </c>
      <c r="G315">
        <v>5746</v>
      </c>
      <c r="H315">
        <v>0</v>
      </c>
      <c r="I315">
        <v>144</v>
      </c>
      <c r="J315">
        <v>84</v>
      </c>
      <c r="L315" t="s">
        <v>3</v>
      </c>
      <c r="M315" t="s">
        <v>39</v>
      </c>
      <c r="N315" s="6">
        <f t="shared" ca="1" si="4"/>
        <v>43531</v>
      </c>
    </row>
    <row r="316" spans="1:14">
      <c r="A316" t="s">
        <v>354</v>
      </c>
      <c r="B316" t="s">
        <v>20</v>
      </c>
      <c r="C316" t="s">
        <v>10</v>
      </c>
      <c r="D316">
        <v>0</v>
      </c>
      <c r="E316" t="s">
        <v>7</v>
      </c>
      <c r="F316" t="s">
        <v>9</v>
      </c>
      <c r="G316">
        <v>2473</v>
      </c>
      <c r="H316">
        <v>1843</v>
      </c>
      <c r="I316">
        <v>159</v>
      </c>
      <c r="J316">
        <v>360</v>
      </c>
      <c r="K316">
        <v>1</v>
      </c>
      <c r="L316" t="s">
        <v>3</v>
      </c>
      <c r="M316" t="s">
        <v>41</v>
      </c>
      <c r="N316" s="6">
        <f t="shared" ca="1" si="4"/>
        <v>43590</v>
      </c>
    </row>
    <row r="317" spans="1:14">
      <c r="A317" t="s">
        <v>355</v>
      </c>
      <c r="B317" t="s">
        <v>23</v>
      </c>
      <c r="C317" t="s">
        <v>10</v>
      </c>
      <c r="D317">
        <v>1</v>
      </c>
      <c r="E317" t="s">
        <v>11</v>
      </c>
      <c r="F317" t="s">
        <v>9</v>
      </c>
      <c r="G317">
        <v>3399</v>
      </c>
      <c r="H317">
        <v>1640</v>
      </c>
      <c r="I317">
        <v>111</v>
      </c>
      <c r="J317">
        <v>180</v>
      </c>
      <c r="K317">
        <v>1</v>
      </c>
      <c r="L317" t="s">
        <v>5</v>
      </c>
      <c r="M317" t="s">
        <v>39</v>
      </c>
      <c r="N317" s="6">
        <f t="shared" ca="1" si="4"/>
        <v>43468</v>
      </c>
    </row>
    <row r="318" spans="1:14">
      <c r="A318" t="s">
        <v>356</v>
      </c>
      <c r="B318" t="s">
        <v>23</v>
      </c>
      <c r="C318" t="s">
        <v>10</v>
      </c>
      <c r="D318">
        <v>2</v>
      </c>
      <c r="E318" t="s">
        <v>7</v>
      </c>
      <c r="F318" t="s">
        <v>9</v>
      </c>
      <c r="G318">
        <v>3717</v>
      </c>
      <c r="H318">
        <v>0</v>
      </c>
      <c r="I318">
        <v>12000</v>
      </c>
      <c r="J318">
        <v>360</v>
      </c>
      <c r="K318">
        <v>1</v>
      </c>
      <c r="L318" t="s">
        <v>4</v>
      </c>
      <c r="M318" t="s">
        <v>39</v>
      </c>
      <c r="N318" s="6">
        <f t="shared" ca="1" si="4"/>
        <v>43497</v>
      </c>
    </row>
    <row r="319" spans="1:14">
      <c r="A319" t="s">
        <v>357</v>
      </c>
      <c r="B319" t="s">
        <v>23</v>
      </c>
      <c r="C319" t="s">
        <v>10</v>
      </c>
      <c r="D319">
        <v>0</v>
      </c>
      <c r="E319" t="s">
        <v>7</v>
      </c>
      <c r="F319" t="s">
        <v>9</v>
      </c>
      <c r="G319">
        <v>2058</v>
      </c>
      <c r="H319">
        <v>2134</v>
      </c>
      <c r="I319">
        <v>88</v>
      </c>
      <c r="J319">
        <v>360</v>
      </c>
      <c r="L319" t="s">
        <v>5</v>
      </c>
      <c r="M319" t="s">
        <v>39</v>
      </c>
      <c r="N319" s="6">
        <f t="shared" ca="1" si="4"/>
        <v>43558</v>
      </c>
    </row>
    <row r="320" spans="1:14">
      <c r="A320" t="s">
        <v>358</v>
      </c>
      <c r="B320" t="s">
        <v>8</v>
      </c>
      <c r="C320" t="s">
        <v>9</v>
      </c>
      <c r="D320">
        <v>1</v>
      </c>
      <c r="E320" t="s">
        <v>7</v>
      </c>
      <c r="F320" t="s">
        <v>9</v>
      </c>
      <c r="G320">
        <v>3541</v>
      </c>
      <c r="H320">
        <v>0</v>
      </c>
      <c r="I320">
        <v>112</v>
      </c>
      <c r="J320">
        <v>360</v>
      </c>
      <c r="L320" t="s">
        <v>4</v>
      </c>
      <c r="M320" t="s">
        <v>39</v>
      </c>
      <c r="N320" s="6">
        <f t="shared" ca="1" si="4"/>
        <v>43760</v>
      </c>
    </row>
    <row r="321" spans="1:14">
      <c r="A321" t="s">
        <v>359</v>
      </c>
      <c r="B321" t="s">
        <v>23</v>
      </c>
      <c r="C321" t="s">
        <v>10</v>
      </c>
      <c r="D321">
        <v>1</v>
      </c>
      <c r="E321" t="s">
        <v>7</v>
      </c>
      <c r="F321" t="s">
        <v>10</v>
      </c>
      <c r="G321">
        <v>10000</v>
      </c>
      <c r="H321">
        <v>0</v>
      </c>
      <c r="I321">
        <v>155</v>
      </c>
      <c r="J321">
        <v>360</v>
      </c>
      <c r="K321">
        <v>1</v>
      </c>
      <c r="L321" t="s">
        <v>3</v>
      </c>
      <c r="M321" t="s">
        <v>41</v>
      </c>
      <c r="N321" s="6">
        <f t="shared" ca="1" si="4"/>
        <v>43641</v>
      </c>
    </row>
    <row r="322" spans="1:14">
      <c r="A322" t="s">
        <v>360</v>
      </c>
      <c r="B322" t="s">
        <v>23</v>
      </c>
      <c r="C322" t="s">
        <v>10</v>
      </c>
      <c r="D322">
        <v>0</v>
      </c>
      <c r="E322" t="s">
        <v>7</v>
      </c>
      <c r="F322" t="s">
        <v>9</v>
      </c>
      <c r="G322">
        <v>2400</v>
      </c>
      <c r="H322">
        <v>2167</v>
      </c>
      <c r="I322">
        <v>115</v>
      </c>
      <c r="J322">
        <v>360</v>
      </c>
      <c r="K322">
        <v>1</v>
      </c>
      <c r="L322" t="s">
        <v>4</v>
      </c>
      <c r="M322" t="s">
        <v>39</v>
      </c>
      <c r="N322" s="6">
        <f t="shared" ref="N322:N385" ca="1" si="5">RANDBETWEEN(DATE(2019,1,1),DATE(2019,12,31))</f>
        <v>43725</v>
      </c>
    </row>
    <row r="323" spans="1:14">
      <c r="A323" t="s">
        <v>361</v>
      </c>
      <c r="B323" t="s">
        <v>23</v>
      </c>
      <c r="C323" t="s">
        <v>10</v>
      </c>
      <c r="D323">
        <v>3</v>
      </c>
      <c r="E323" t="s">
        <v>7</v>
      </c>
      <c r="F323" t="s">
        <v>9</v>
      </c>
      <c r="G323">
        <v>4342</v>
      </c>
      <c r="H323">
        <v>189</v>
      </c>
      <c r="I323">
        <v>124</v>
      </c>
      <c r="J323">
        <v>360</v>
      </c>
      <c r="K323">
        <v>1</v>
      </c>
      <c r="L323" t="s">
        <v>4</v>
      </c>
      <c r="M323" t="s">
        <v>39</v>
      </c>
      <c r="N323" s="6">
        <f t="shared" ca="1" si="5"/>
        <v>43578</v>
      </c>
    </row>
    <row r="324" spans="1:14">
      <c r="A324" t="s">
        <v>362</v>
      </c>
      <c r="B324" t="s">
        <v>23</v>
      </c>
      <c r="C324" t="s">
        <v>10</v>
      </c>
      <c r="D324">
        <v>2</v>
      </c>
      <c r="E324" t="s">
        <v>11</v>
      </c>
      <c r="F324" t="s">
        <v>9</v>
      </c>
      <c r="G324">
        <v>3601</v>
      </c>
      <c r="H324">
        <v>1590</v>
      </c>
      <c r="J324">
        <v>360</v>
      </c>
      <c r="K324">
        <v>1</v>
      </c>
      <c r="L324" t="s">
        <v>3</v>
      </c>
      <c r="M324" t="s">
        <v>39</v>
      </c>
      <c r="N324" s="6">
        <f t="shared" ca="1" si="5"/>
        <v>43733</v>
      </c>
    </row>
    <row r="325" spans="1:14">
      <c r="A325" t="s">
        <v>363</v>
      </c>
      <c r="B325" t="s">
        <v>8</v>
      </c>
      <c r="C325" t="s">
        <v>9</v>
      </c>
      <c r="D325">
        <v>0</v>
      </c>
      <c r="E325" t="s">
        <v>7</v>
      </c>
      <c r="F325" t="s">
        <v>9</v>
      </c>
      <c r="G325">
        <v>3166</v>
      </c>
      <c r="H325">
        <v>2985</v>
      </c>
      <c r="I325">
        <v>132</v>
      </c>
      <c r="J325">
        <v>360</v>
      </c>
      <c r="L325" t="s">
        <v>3</v>
      </c>
      <c r="M325" t="s">
        <v>39</v>
      </c>
      <c r="N325" s="6">
        <f t="shared" ca="1" si="5"/>
        <v>43804</v>
      </c>
    </row>
    <row r="326" spans="1:14">
      <c r="A326" t="s">
        <v>364</v>
      </c>
      <c r="B326" t="s">
        <v>23</v>
      </c>
      <c r="C326" t="s">
        <v>10</v>
      </c>
      <c r="D326">
        <v>3</v>
      </c>
      <c r="E326" t="s">
        <v>7</v>
      </c>
      <c r="F326" t="s">
        <v>9</v>
      </c>
      <c r="G326">
        <v>15000</v>
      </c>
      <c r="H326">
        <v>0</v>
      </c>
      <c r="I326">
        <v>300</v>
      </c>
      <c r="J326">
        <v>360</v>
      </c>
      <c r="K326">
        <v>1</v>
      </c>
      <c r="L326" t="s">
        <v>3</v>
      </c>
      <c r="M326" t="s">
        <v>39</v>
      </c>
      <c r="N326" s="6">
        <f t="shared" ca="1" si="5"/>
        <v>43741</v>
      </c>
    </row>
    <row r="327" spans="1:14">
      <c r="A327" t="s">
        <v>365</v>
      </c>
      <c r="B327" t="s">
        <v>23</v>
      </c>
      <c r="C327" t="s">
        <v>10</v>
      </c>
      <c r="D327">
        <v>1</v>
      </c>
      <c r="E327" t="s">
        <v>7</v>
      </c>
      <c r="F327" t="s">
        <v>10</v>
      </c>
      <c r="G327">
        <v>8666</v>
      </c>
      <c r="H327">
        <v>4983</v>
      </c>
      <c r="I327">
        <v>376</v>
      </c>
      <c r="J327">
        <v>360</v>
      </c>
      <c r="K327">
        <v>0</v>
      </c>
      <c r="L327" t="s">
        <v>3</v>
      </c>
      <c r="M327" t="s">
        <v>41</v>
      </c>
      <c r="N327" s="6">
        <f t="shared" ca="1" si="5"/>
        <v>43622</v>
      </c>
    </row>
    <row r="328" spans="1:14">
      <c r="A328" t="s">
        <v>366</v>
      </c>
      <c r="B328" t="s">
        <v>23</v>
      </c>
      <c r="C328" t="s">
        <v>9</v>
      </c>
      <c r="D328">
        <v>0</v>
      </c>
      <c r="E328" t="s">
        <v>7</v>
      </c>
      <c r="F328" t="s">
        <v>9</v>
      </c>
      <c r="G328">
        <v>4917</v>
      </c>
      <c r="H328">
        <v>0</v>
      </c>
      <c r="I328">
        <v>130</v>
      </c>
      <c r="J328">
        <v>360</v>
      </c>
      <c r="K328">
        <v>0</v>
      </c>
      <c r="L328" t="s">
        <v>3</v>
      </c>
      <c r="M328" t="s">
        <v>39</v>
      </c>
      <c r="N328" s="6">
        <f t="shared" ca="1" si="5"/>
        <v>43717</v>
      </c>
    </row>
    <row r="329" spans="1:14">
      <c r="A329" t="s">
        <v>367</v>
      </c>
      <c r="B329" t="s">
        <v>23</v>
      </c>
      <c r="C329" t="s">
        <v>10</v>
      </c>
      <c r="D329">
        <v>0</v>
      </c>
      <c r="E329" t="s">
        <v>7</v>
      </c>
      <c r="F329" t="s">
        <v>10</v>
      </c>
      <c r="G329">
        <v>5818</v>
      </c>
      <c r="H329">
        <v>2160</v>
      </c>
      <c r="I329">
        <v>184</v>
      </c>
      <c r="J329">
        <v>360</v>
      </c>
      <c r="K329">
        <v>1</v>
      </c>
      <c r="L329" t="s">
        <v>4</v>
      </c>
      <c r="M329" t="s">
        <v>39</v>
      </c>
      <c r="N329" s="6">
        <f t="shared" ca="1" si="5"/>
        <v>43710</v>
      </c>
    </row>
    <row r="330" spans="1:14">
      <c r="A330" t="s">
        <v>368</v>
      </c>
      <c r="B330" t="s">
        <v>8</v>
      </c>
      <c r="C330" t="s">
        <v>10</v>
      </c>
      <c r="D330">
        <v>0</v>
      </c>
      <c r="E330" t="s">
        <v>7</v>
      </c>
      <c r="F330" t="s">
        <v>9</v>
      </c>
      <c r="G330">
        <v>4333</v>
      </c>
      <c r="H330">
        <v>2451</v>
      </c>
      <c r="I330">
        <v>110</v>
      </c>
      <c r="J330">
        <v>360</v>
      </c>
      <c r="K330">
        <v>1</v>
      </c>
      <c r="L330" t="s">
        <v>5</v>
      </c>
      <c r="M330" t="s">
        <v>41</v>
      </c>
      <c r="N330" s="6">
        <f t="shared" ca="1" si="5"/>
        <v>43655</v>
      </c>
    </row>
    <row r="331" spans="1:14">
      <c r="A331" t="s">
        <v>369</v>
      </c>
      <c r="B331" t="s">
        <v>8</v>
      </c>
      <c r="C331" t="s">
        <v>9</v>
      </c>
      <c r="D331">
        <v>0</v>
      </c>
      <c r="E331" t="s">
        <v>7</v>
      </c>
      <c r="F331" t="s">
        <v>9</v>
      </c>
      <c r="G331">
        <v>2500</v>
      </c>
      <c r="H331">
        <v>0</v>
      </c>
      <c r="I331">
        <v>67</v>
      </c>
      <c r="J331">
        <v>360</v>
      </c>
      <c r="K331">
        <v>1</v>
      </c>
      <c r="L331" t="s">
        <v>5</v>
      </c>
      <c r="M331" t="s">
        <v>39</v>
      </c>
      <c r="N331" s="6">
        <f t="shared" ca="1" si="5"/>
        <v>43735</v>
      </c>
    </row>
    <row r="332" spans="1:14">
      <c r="A332" t="s">
        <v>370</v>
      </c>
      <c r="B332" t="s">
        <v>23</v>
      </c>
      <c r="C332" t="s">
        <v>9</v>
      </c>
      <c r="D332">
        <v>1</v>
      </c>
      <c r="E332" t="s">
        <v>7</v>
      </c>
      <c r="F332" t="s">
        <v>9</v>
      </c>
      <c r="G332">
        <v>4384</v>
      </c>
      <c r="H332">
        <v>1793</v>
      </c>
      <c r="I332">
        <v>117</v>
      </c>
      <c r="J332">
        <v>360</v>
      </c>
      <c r="K332">
        <v>1</v>
      </c>
      <c r="L332" t="s">
        <v>5</v>
      </c>
      <c r="M332" t="s">
        <v>39</v>
      </c>
      <c r="N332" s="6">
        <f t="shared" ca="1" si="5"/>
        <v>43488</v>
      </c>
    </row>
    <row r="333" spans="1:14">
      <c r="A333" t="s">
        <v>371</v>
      </c>
      <c r="B333" t="s">
        <v>23</v>
      </c>
      <c r="C333" t="s">
        <v>9</v>
      </c>
      <c r="D333">
        <v>0</v>
      </c>
      <c r="E333" t="s">
        <v>7</v>
      </c>
      <c r="F333" t="s">
        <v>9</v>
      </c>
      <c r="G333">
        <v>2935</v>
      </c>
      <c r="H333">
        <v>0</v>
      </c>
      <c r="I333">
        <v>9800</v>
      </c>
      <c r="J333">
        <v>360</v>
      </c>
      <c r="K333">
        <v>1</v>
      </c>
      <c r="L333" t="s">
        <v>4</v>
      </c>
      <c r="M333" t="s">
        <v>39</v>
      </c>
      <c r="N333" s="6">
        <f t="shared" ca="1" si="5"/>
        <v>43814</v>
      </c>
    </row>
    <row r="334" spans="1:14">
      <c r="A334" t="s">
        <v>372</v>
      </c>
      <c r="B334" t="s">
        <v>23</v>
      </c>
      <c r="C334" t="s">
        <v>9</v>
      </c>
      <c r="E334" t="s">
        <v>7</v>
      </c>
      <c r="F334" t="s">
        <v>9</v>
      </c>
      <c r="G334">
        <v>2833</v>
      </c>
      <c r="H334">
        <v>0</v>
      </c>
      <c r="I334">
        <v>71</v>
      </c>
      <c r="J334">
        <v>360</v>
      </c>
      <c r="K334">
        <v>1</v>
      </c>
      <c r="L334" t="s">
        <v>5</v>
      </c>
      <c r="M334" t="s">
        <v>39</v>
      </c>
      <c r="N334" s="6">
        <f t="shared" ca="1" si="5"/>
        <v>43744</v>
      </c>
    </row>
    <row r="335" spans="1:14">
      <c r="A335" t="s">
        <v>373</v>
      </c>
      <c r="B335" t="s">
        <v>23</v>
      </c>
      <c r="C335" t="s">
        <v>10</v>
      </c>
      <c r="D335">
        <v>0</v>
      </c>
      <c r="E335" t="s">
        <v>7</v>
      </c>
      <c r="F335" t="s">
        <v>20</v>
      </c>
      <c r="G335">
        <v>63337</v>
      </c>
      <c r="H335">
        <v>0</v>
      </c>
      <c r="I335">
        <v>490</v>
      </c>
      <c r="J335">
        <v>180</v>
      </c>
      <c r="K335">
        <v>1</v>
      </c>
      <c r="L335" t="s">
        <v>5</v>
      </c>
      <c r="M335" t="s">
        <v>39</v>
      </c>
      <c r="N335" s="6">
        <f t="shared" ca="1" si="5"/>
        <v>43510</v>
      </c>
    </row>
    <row r="336" spans="1:14">
      <c r="A336" t="s">
        <v>374</v>
      </c>
      <c r="B336" t="s">
        <v>20</v>
      </c>
      <c r="C336" t="s">
        <v>10</v>
      </c>
      <c r="D336">
        <v>1</v>
      </c>
      <c r="E336" t="s">
        <v>7</v>
      </c>
      <c r="F336" t="s">
        <v>10</v>
      </c>
      <c r="G336">
        <v>9833</v>
      </c>
      <c r="H336">
        <v>1833</v>
      </c>
      <c r="I336">
        <v>182</v>
      </c>
      <c r="J336">
        <v>180</v>
      </c>
      <c r="K336">
        <v>1</v>
      </c>
      <c r="L336" t="s">
        <v>5</v>
      </c>
      <c r="M336" t="s">
        <v>39</v>
      </c>
      <c r="N336" s="6">
        <f t="shared" ca="1" si="5"/>
        <v>43731</v>
      </c>
    </row>
    <row r="337" spans="1:14">
      <c r="A337" t="s">
        <v>375</v>
      </c>
      <c r="B337" t="s">
        <v>23</v>
      </c>
      <c r="C337" t="s">
        <v>10</v>
      </c>
      <c r="E337" t="s">
        <v>7</v>
      </c>
      <c r="F337" t="s">
        <v>10</v>
      </c>
      <c r="G337">
        <v>5503</v>
      </c>
      <c r="H337">
        <v>4490</v>
      </c>
      <c r="I337">
        <v>70</v>
      </c>
      <c r="K337">
        <v>1</v>
      </c>
      <c r="L337" t="s">
        <v>4</v>
      </c>
      <c r="M337" t="s">
        <v>39</v>
      </c>
      <c r="N337" s="6">
        <f t="shared" ca="1" si="5"/>
        <v>43694</v>
      </c>
    </row>
    <row r="338" spans="1:14">
      <c r="A338" t="s">
        <v>376</v>
      </c>
      <c r="B338" t="s">
        <v>23</v>
      </c>
      <c r="C338" t="s">
        <v>10</v>
      </c>
      <c r="D338">
        <v>1</v>
      </c>
      <c r="E338" t="s">
        <v>7</v>
      </c>
      <c r="F338" t="s">
        <v>20</v>
      </c>
      <c r="G338">
        <v>5250</v>
      </c>
      <c r="H338">
        <v>688</v>
      </c>
      <c r="I338">
        <v>160</v>
      </c>
      <c r="J338">
        <v>360</v>
      </c>
      <c r="K338">
        <v>1</v>
      </c>
      <c r="L338" t="s">
        <v>3</v>
      </c>
      <c r="M338" t="s">
        <v>39</v>
      </c>
      <c r="N338" s="6">
        <f t="shared" ca="1" si="5"/>
        <v>43830</v>
      </c>
    </row>
    <row r="339" spans="1:14">
      <c r="A339" t="s">
        <v>377</v>
      </c>
      <c r="B339" t="s">
        <v>23</v>
      </c>
      <c r="C339" t="s">
        <v>10</v>
      </c>
      <c r="D339">
        <v>2</v>
      </c>
      <c r="E339" t="s">
        <v>7</v>
      </c>
      <c r="F339" t="s">
        <v>10</v>
      </c>
      <c r="G339">
        <v>2500</v>
      </c>
      <c r="H339">
        <v>4600</v>
      </c>
      <c r="I339">
        <v>176</v>
      </c>
      <c r="J339">
        <v>360</v>
      </c>
      <c r="K339">
        <v>1</v>
      </c>
      <c r="L339" t="s">
        <v>3</v>
      </c>
      <c r="M339" t="s">
        <v>39</v>
      </c>
      <c r="N339" s="6">
        <f t="shared" ca="1" si="5"/>
        <v>43751</v>
      </c>
    </row>
    <row r="340" spans="1:14">
      <c r="A340" t="s">
        <v>378</v>
      </c>
      <c r="B340" t="s">
        <v>8</v>
      </c>
      <c r="C340" t="s">
        <v>9</v>
      </c>
      <c r="D340">
        <v>3</v>
      </c>
      <c r="E340" t="s">
        <v>11</v>
      </c>
      <c r="F340" t="s">
        <v>9</v>
      </c>
      <c r="G340">
        <v>1830</v>
      </c>
      <c r="H340">
        <v>0</v>
      </c>
      <c r="J340">
        <v>360</v>
      </c>
      <c r="K340">
        <v>0</v>
      </c>
      <c r="L340" t="s">
        <v>5</v>
      </c>
      <c r="M340" t="s">
        <v>41</v>
      </c>
      <c r="N340" s="6">
        <f t="shared" ca="1" si="5"/>
        <v>43600</v>
      </c>
    </row>
    <row r="341" spans="1:14">
      <c r="A341" t="s">
        <v>379</v>
      </c>
      <c r="B341" t="s">
        <v>8</v>
      </c>
      <c r="C341" t="s">
        <v>9</v>
      </c>
      <c r="D341">
        <v>0</v>
      </c>
      <c r="E341" t="s">
        <v>7</v>
      </c>
      <c r="F341" t="s">
        <v>9</v>
      </c>
      <c r="G341">
        <v>4160</v>
      </c>
      <c r="H341">
        <v>0</v>
      </c>
      <c r="I341">
        <v>71</v>
      </c>
      <c r="J341">
        <v>360</v>
      </c>
      <c r="K341">
        <v>1</v>
      </c>
      <c r="L341" t="s">
        <v>4</v>
      </c>
      <c r="M341" t="s">
        <v>39</v>
      </c>
      <c r="N341" s="6">
        <f t="shared" ca="1" si="5"/>
        <v>43777</v>
      </c>
    </row>
    <row r="342" spans="1:14">
      <c r="A342" t="s">
        <v>380</v>
      </c>
      <c r="B342" t="s">
        <v>23</v>
      </c>
      <c r="C342" t="s">
        <v>10</v>
      </c>
      <c r="D342">
        <v>3</v>
      </c>
      <c r="E342" t="s">
        <v>11</v>
      </c>
      <c r="F342" t="s">
        <v>9</v>
      </c>
      <c r="G342">
        <v>2647</v>
      </c>
      <c r="H342">
        <v>1587</v>
      </c>
      <c r="I342">
        <v>173</v>
      </c>
      <c r="J342">
        <v>360</v>
      </c>
      <c r="K342">
        <v>1</v>
      </c>
      <c r="L342" t="s">
        <v>3</v>
      </c>
      <c r="M342" t="s">
        <v>41</v>
      </c>
      <c r="N342" s="6">
        <f t="shared" ca="1" si="5"/>
        <v>43663</v>
      </c>
    </row>
    <row r="343" spans="1:14">
      <c r="A343" t="s">
        <v>381</v>
      </c>
      <c r="B343" t="s">
        <v>8</v>
      </c>
      <c r="C343" t="s">
        <v>9</v>
      </c>
      <c r="D343">
        <v>0</v>
      </c>
      <c r="E343" t="s">
        <v>7</v>
      </c>
      <c r="F343" t="s">
        <v>9</v>
      </c>
      <c r="G343">
        <v>2378</v>
      </c>
      <c r="H343">
        <v>0</v>
      </c>
      <c r="I343">
        <v>46</v>
      </c>
      <c r="J343">
        <v>360</v>
      </c>
      <c r="K343">
        <v>1</v>
      </c>
      <c r="L343" t="s">
        <v>3</v>
      </c>
      <c r="M343" t="s">
        <v>41</v>
      </c>
      <c r="N343" s="6">
        <f t="shared" ca="1" si="5"/>
        <v>43520</v>
      </c>
    </row>
    <row r="344" spans="1:14">
      <c r="A344" t="s">
        <v>382</v>
      </c>
      <c r="B344" t="s">
        <v>23</v>
      </c>
      <c r="C344" t="s">
        <v>10</v>
      </c>
      <c r="D344">
        <v>1</v>
      </c>
      <c r="E344" t="s">
        <v>11</v>
      </c>
      <c r="F344" t="s">
        <v>9</v>
      </c>
      <c r="G344">
        <v>4554</v>
      </c>
      <c r="H344">
        <v>1229</v>
      </c>
      <c r="I344">
        <v>15800</v>
      </c>
      <c r="J344">
        <v>360</v>
      </c>
      <c r="K344">
        <v>1</v>
      </c>
      <c r="L344" t="s">
        <v>5</v>
      </c>
      <c r="M344" t="s">
        <v>39</v>
      </c>
      <c r="N344" s="6">
        <f t="shared" ca="1" si="5"/>
        <v>43583</v>
      </c>
    </row>
    <row r="345" spans="1:14">
      <c r="A345" t="s">
        <v>383</v>
      </c>
      <c r="B345" t="s">
        <v>23</v>
      </c>
      <c r="C345" t="s">
        <v>10</v>
      </c>
      <c r="D345">
        <v>3</v>
      </c>
      <c r="E345" t="s">
        <v>11</v>
      </c>
      <c r="F345" t="s">
        <v>9</v>
      </c>
      <c r="G345">
        <v>3173</v>
      </c>
      <c r="H345">
        <v>0</v>
      </c>
      <c r="I345">
        <v>74</v>
      </c>
      <c r="J345">
        <v>360</v>
      </c>
      <c r="K345">
        <v>1</v>
      </c>
      <c r="L345" t="s">
        <v>4</v>
      </c>
      <c r="M345" t="s">
        <v>39</v>
      </c>
      <c r="N345" s="6">
        <f t="shared" ca="1" si="5"/>
        <v>43536</v>
      </c>
    </row>
    <row r="346" spans="1:14">
      <c r="A346" t="s">
        <v>384</v>
      </c>
      <c r="B346" t="s">
        <v>23</v>
      </c>
      <c r="C346" t="s">
        <v>10</v>
      </c>
      <c r="D346">
        <v>2</v>
      </c>
      <c r="E346" t="s">
        <v>7</v>
      </c>
      <c r="F346" t="s">
        <v>20</v>
      </c>
      <c r="G346">
        <v>2583</v>
      </c>
      <c r="H346">
        <v>2330</v>
      </c>
      <c r="I346">
        <v>125</v>
      </c>
      <c r="J346">
        <v>360</v>
      </c>
      <c r="K346">
        <v>1</v>
      </c>
      <c r="L346" t="s">
        <v>3</v>
      </c>
      <c r="M346" t="s">
        <v>39</v>
      </c>
      <c r="N346" s="6">
        <f t="shared" ca="1" si="5"/>
        <v>43530</v>
      </c>
    </row>
    <row r="347" spans="1:14">
      <c r="A347" t="s">
        <v>385</v>
      </c>
      <c r="B347" t="s">
        <v>23</v>
      </c>
      <c r="C347" t="s">
        <v>10</v>
      </c>
      <c r="D347">
        <v>0</v>
      </c>
      <c r="E347" t="s">
        <v>7</v>
      </c>
      <c r="F347" t="s">
        <v>9</v>
      </c>
      <c r="G347">
        <v>2499</v>
      </c>
      <c r="H347">
        <v>2458</v>
      </c>
      <c r="I347">
        <v>160</v>
      </c>
      <c r="J347">
        <v>360</v>
      </c>
      <c r="K347">
        <v>1</v>
      </c>
      <c r="L347" t="s">
        <v>4</v>
      </c>
      <c r="M347" t="s">
        <v>39</v>
      </c>
      <c r="N347" s="6">
        <f t="shared" ca="1" si="5"/>
        <v>43611</v>
      </c>
    </row>
    <row r="348" spans="1:14">
      <c r="A348" t="s">
        <v>386</v>
      </c>
      <c r="B348" t="s">
        <v>23</v>
      </c>
      <c r="C348" t="s">
        <v>10</v>
      </c>
      <c r="E348" t="s">
        <v>11</v>
      </c>
      <c r="F348" t="s">
        <v>9</v>
      </c>
      <c r="G348">
        <v>3523</v>
      </c>
      <c r="H348">
        <v>3230</v>
      </c>
      <c r="I348">
        <v>152</v>
      </c>
      <c r="J348">
        <v>360</v>
      </c>
      <c r="K348">
        <v>0</v>
      </c>
      <c r="L348" t="s">
        <v>3</v>
      </c>
      <c r="M348" t="s">
        <v>41</v>
      </c>
      <c r="N348" s="6">
        <f t="shared" ca="1" si="5"/>
        <v>43571</v>
      </c>
    </row>
    <row r="349" spans="1:14">
      <c r="A349" t="s">
        <v>387</v>
      </c>
      <c r="B349" t="s">
        <v>23</v>
      </c>
      <c r="C349" t="s">
        <v>10</v>
      </c>
      <c r="D349">
        <v>2</v>
      </c>
      <c r="E349" t="s">
        <v>11</v>
      </c>
      <c r="F349" t="s">
        <v>9</v>
      </c>
      <c r="G349">
        <v>3083</v>
      </c>
      <c r="H349">
        <v>2168</v>
      </c>
      <c r="I349">
        <v>126</v>
      </c>
      <c r="J349">
        <v>360</v>
      </c>
      <c r="K349">
        <v>1</v>
      </c>
      <c r="L349" t="s">
        <v>5</v>
      </c>
      <c r="M349" t="s">
        <v>39</v>
      </c>
      <c r="N349" s="6">
        <f t="shared" ca="1" si="5"/>
        <v>43617</v>
      </c>
    </row>
    <row r="350" spans="1:14">
      <c r="A350" t="s">
        <v>388</v>
      </c>
      <c r="B350" t="s">
        <v>23</v>
      </c>
      <c r="C350" t="s">
        <v>10</v>
      </c>
      <c r="D350">
        <v>0</v>
      </c>
      <c r="E350" t="s">
        <v>7</v>
      </c>
      <c r="F350" t="s">
        <v>9</v>
      </c>
      <c r="G350">
        <v>6333</v>
      </c>
      <c r="H350">
        <v>4583</v>
      </c>
      <c r="I350">
        <v>259</v>
      </c>
      <c r="J350">
        <v>360</v>
      </c>
      <c r="L350" t="s">
        <v>4</v>
      </c>
      <c r="M350" t="s">
        <v>39</v>
      </c>
      <c r="N350" s="6">
        <f t="shared" ca="1" si="5"/>
        <v>43602</v>
      </c>
    </row>
    <row r="351" spans="1:14">
      <c r="A351" t="s">
        <v>389</v>
      </c>
      <c r="B351" t="s">
        <v>23</v>
      </c>
      <c r="C351" t="s">
        <v>10</v>
      </c>
      <c r="D351">
        <v>0</v>
      </c>
      <c r="E351" t="s">
        <v>7</v>
      </c>
      <c r="F351" t="s">
        <v>9</v>
      </c>
      <c r="G351">
        <v>2625</v>
      </c>
      <c r="H351">
        <v>6250</v>
      </c>
      <c r="I351">
        <v>187</v>
      </c>
      <c r="J351">
        <v>360</v>
      </c>
      <c r="K351">
        <v>1</v>
      </c>
      <c r="L351" t="s">
        <v>3</v>
      </c>
      <c r="M351" t="s">
        <v>39</v>
      </c>
      <c r="N351" s="6">
        <f t="shared" ca="1" si="5"/>
        <v>43773</v>
      </c>
    </row>
    <row r="352" spans="1:14">
      <c r="A352" t="s">
        <v>390</v>
      </c>
      <c r="B352" t="s">
        <v>23</v>
      </c>
      <c r="C352" t="s">
        <v>10</v>
      </c>
      <c r="D352">
        <v>0</v>
      </c>
      <c r="E352" t="s">
        <v>7</v>
      </c>
      <c r="F352" t="s">
        <v>9</v>
      </c>
      <c r="G352">
        <v>9083</v>
      </c>
      <c r="H352">
        <v>0</v>
      </c>
      <c r="I352">
        <v>228</v>
      </c>
      <c r="J352">
        <v>360</v>
      </c>
      <c r="K352">
        <v>1</v>
      </c>
      <c r="L352" t="s">
        <v>4</v>
      </c>
      <c r="M352" t="s">
        <v>39</v>
      </c>
      <c r="N352" s="6">
        <f t="shared" ca="1" si="5"/>
        <v>43618</v>
      </c>
    </row>
    <row r="353" spans="1:14">
      <c r="A353" t="s">
        <v>391</v>
      </c>
      <c r="B353" t="s">
        <v>23</v>
      </c>
      <c r="C353" t="s">
        <v>9</v>
      </c>
      <c r="D353">
        <v>0</v>
      </c>
      <c r="E353" t="s">
        <v>7</v>
      </c>
      <c r="F353" t="s">
        <v>9</v>
      </c>
      <c r="G353">
        <v>8750</v>
      </c>
      <c r="H353">
        <v>4167</v>
      </c>
      <c r="I353">
        <v>308</v>
      </c>
      <c r="J353">
        <v>360</v>
      </c>
      <c r="K353">
        <v>1</v>
      </c>
      <c r="L353" t="s">
        <v>3</v>
      </c>
      <c r="M353" t="s">
        <v>41</v>
      </c>
      <c r="N353" s="6">
        <f t="shared" ca="1" si="5"/>
        <v>43804</v>
      </c>
    </row>
    <row r="354" spans="1:14">
      <c r="A354" t="s">
        <v>392</v>
      </c>
      <c r="B354" t="s">
        <v>23</v>
      </c>
      <c r="C354" t="s">
        <v>10</v>
      </c>
      <c r="D354">
        <v>3</v>
      </c>
      <c r="E354" t="s">
        <v>7</v>
      </c>
      <c r="F354" t="s">
        <v>9</v>
      </c>
      <c r="G354">
        <v>2666</v>
      </c>
      <c r="H354">
        <v>2083</v>
      </c>
      <c r="I354">
        <v>9500</v>
      </c>
      <c r="J354">
        <v>360</v>
      </c>
      <c r="K354">
        <v>1</v>
      </c>
      <c r="L354" t="s">
        <v>3</v>
      </c>
      <c r="M354" t="s">
        <v>39</v>
      </c>
      <c r="N354" s="6">
        <f t="shared" ca="1" si="5"/>
        <v>43754</v>
      </c>
    </row>
    <row r="355" spans="1:14">
      <c r="A355" t="s">
        <v>393</v>
      </c>
      <c r="B355" t="s">
        <v>8</v>
      </c>
      <c r="C355" t="s">
        <v>10</v>
      </c>
      <c r="D355">
        <v>0</v>
      </c>
      <c r="E355" t="s">
        <v>7</v>
      </c>
      <c r="F355" t="s">
        <v>10</v>
      </c>
      <c r="G355">
        <v>5500</v>
      </c>
      <c r="H355">
        <v>0</v>
      </c>
      <c r="I355">
        <v>105</v>
      </c>
      <c r="J355">
        <v>360</v>
      </c>
      <c r="K355">
        <v>0</v>
      </c>
      <c r="L355" t="s">
        <v>3</v>
      </c>
      <c r="M355" t="s">
        <v>41</v>
      </c>
      <c r="N355" s="6">
        <f t="shared" ca="1" si="5"/>
        <v>43513</v>
      </c>
    </row>
    <row r="356" spans="1:14">
      <c r="A356" t="s">
        <v>394</v>
      </c>
      <c r="B356" t="s">
        <v>8</v>
      </c>
      <c r="C356" t="s">
        <v>10</v>
      </c>
      <c r="D356">
        <v>0</v>
      </c>
      <c r="E356" t="s">
        <v>7</v>
      </c>
      <c r="F356" t="s">
        <v>9</v>
      </c>
      <c r="G356">
        <v>2423</v>
      </c>
      <c r="H356">
        <v>505</v>
      </c>
      <c r="I356">
        <v>130</v>
      </c>
      <c r="J356">
        <v>360</v>
      </c>
      <c r="K356">
        <v>1</v>
      </c>
      <c r="L356" t="s">
        <v>4</v>
      </c>
      <c r="M356" t="s">
        <v>39</v>
      </c>
      <c r="N356" s="6">
        <f t="shared" ca="1" si="5"/>
        <v>43549</v>
      </c>
    </row>
    <row r="357" spans="1:14">
      <c r="A357" t="s">
        <v>395</v>
      </c>
      <c r="B357" t="s">
        <v>8</v>
      </c>
      <c r="C357" t="s">
        <v>9</v>
      </c>
      <c r="E357" t="s">
        <v>7</v>
      </c>
      <c r="F357" t="s">
        <v>9</v>
      </c>
      <c r="G357">
        <v>3813</v>
      </c>
      <c r="H357">
        <v>0</v>
      </c>
      <c r="I357">
        <v>116</v>
      </c>
      <c r="J357">
        <v>180</v>
      </c>
      <c r="K357">
        <v>1</v>
      </c>
      <c r="L357" t="s">
        <v>5</v>
      </c>
      <c r="M357" t="s">
        <v>39</v>
      </c>
      <c r="N357" s="6">
        <f t="shared" ca="1" si="5"/>
        <v>43477</v>
      </c>
    </row>
    <row r="358" spans="1:14">
      <c r="A358" t="s">
        <v>396</v>
      </c>
      <c r="B358" t="s">
        <v>23</v>
      </c>
      <c r="C358" t="s">
        <v>10</v>
      </c>
      <c r="D358">
        <v>2</v>
      </c>
      <c r="E358" t="s">
        <v>7</v>
      </c>
      <c r="F358" t="s">
        <v>9</v>
      </c>
      <c r="G358">
        <v>8333</v>
      </c>
      <c r="H358">
        <v>3167</v>
      </c>
      <c r="I358">
        <v>165</v>
      </c>
      <c r="J358">
        <v>360</v>
      </c>
      <c r="K358">
        <v>1</v>
      </c>
      <c r="L358" t="s">
        <v>3</v>
      </c>
      <c r="M358" t="s">
        <v>39</v>
      </c>
      <c r="N358" s="6">
        <f t="shared" ca="1" si="5"/>
        <v>43795</v>
      </c>
    </row>
    <row r="359" spans="1:14">
      <c r="A359" t="s">
        <v>397</v>
      </c>
      <c r="B359" t="s">
        <v>23</v>
      </c>
      <c r="C359" t="s">
        <v>10</v>
      </c>
      <c r="D359">
        <v>1</v>
      </c>
      <c r="E359" t="s">
        <v>7</v>
      </c>
      <c r="F359" t="s">
        <v>9</v>
      </c>
      <c r="G359">
        <v>3875</v>
      </c>
      <c r="H359">
        <v>0</v>
      </c>
      <c r="I359">
        <v>67</v>
      </c>
      <c r="J359">
        <v>360</v>
      </c>
      <c r="K359">
        <v>1</v>
      </c>
      <c r="L359" t="s">
        <v>5</v>
      </c>
      <c r="M359" t="s">
        <v>41</v>
      </c>
      <c r="N359" s="6">
        <f t="shared" ca="1" si="5"/>
        <v>43608</v>
      </c>
    </row>
    <row r="360" spans="1:14">
      <c r="A360" t="s">
        <v>398</v>
      </c>
      <c r="B360" t="s">
        <v>23</v>
      </c>
      <c r="C360" t="s">
        <v>10</v>
      </c>
      <c r="D360">
        <v>0</v>
      </c>
      <c r="E360" t="s">
        <v>11</v>
      </c>
      <c r="F360" t="s">
        <v>9</v>
      </c>
      <c r="G360">
        <v>3000</v>
      </c>
      <c r="H360">
        <v>1666</v>
      </c>
      <c r="I360">
        <v>100</v>
      </c>
      <c r="J360">
        <v>480</v>
      </c>
      <c r="K360">
        <v>0</v>
      </c>
      <c r="L360" t="s">
        <v>5</v>
      </c>
      <c r="M360" t="s">
        <v>41</v>
      </c>
      <c r="N360" s="6">
        <f t="shared" ca="1" si="5"/>
        <v>43697</v>
      </c>
    </row>
    <row r="361" spans="1:14">
      <c r="A361" t="s">
        <v>399</v>
      </c>
      <c r="B361" t="s">
        <v>23</v>
      </c>
      <c r="C361" t="s">
        <v>10</v>
      </c>
      <c r="D361">
        <v>3</v>
      </c>
      <c r="E361" t="s">
        <v>7</v>
      </c>
      <c r="F361" t="s">
        <v>9</v>
      </c>
      <c r="G361">
        <v>5167</v>
      </c>
      <c r="H361">
        <v>3167</v>
      </c>
      <c r="I361">
        <v>200</v>
      </c>
      <c r="J361">
        <v>360</v>
      </c>
      <c r="K361">
        <v>1</v>
      </c>
      <c r="L361" t="s">
        <v>4</v>
      </c>
      <c r="M361" t="s">
        <v>39</v>
      </c>
      <c r="N361" s="6">
        <f t="shared" ca="1" si="5"/>
        <v>43802</v>
      </c>
    </row>
    <row r="362" spans="1:14">
      <c r="A362" t="s">
        <v>400</v>
      </c>
      <c r="B362" t="s">
        <v>8</v>
      </c>
      <c r="C362" t="s">
        <v>9</v>
      </c>
      <c r="D362">
        <v>1</v>
      </c>
      <c r="E362" t="s">
        <v>7</v>
      </c>
      <c r="F362" t="s">
        <v>9</v>
      </c>
      <c r="G362">
        <v>4723</v>
      </c>
      <c r="H362">
        <v>0</v>
      </c>
      <c r="I362">
        <v>81</v>
      </c>
      <c r="J362">
        <v>360</v>
      </c>
      <c r="K362">
        <v>1</v>
      </c>
      <c r="L362" t="s">
        <v>4</v>
      </c>
      <c r="M362" t="s">
        <v>41</v>
      </c>
      <c r="N362" s="6">
        <f t="shared" ca="1" si="5"/>
        <v>43757</v>
      </c>
    </row>
    <row r="363" spans="1:14">
      <c r="A363" t="s">
        <v>401</v>
      </c>
      <c r="B363" t="s">
        <v>23</v>
      </c>
      <c r="C363" t="s">
        <v>10</v>
      </c>
      <c r="D363">
        <v>2</v>
      </c>
      <c r="E363" t="s">
        <v>7</v>
      </c>
      <c r="F363" t="s">
        <v>9</v>
      </c>
      <c r="G363">
        <v>5000</v>
      </c>
      <c r="H363">
        <v>3667</v>
      </c>
      <c r="I363">
        <v>236</v>
      </c>
      <c r="J363">
        <v>360</v>
      </c>
      <c r="K363">
        <v>1</v>
      </c>
      <c r="L363" t="s">
        <v>4</v>
      </c>
      <c r="M363" t="s">
        <v>39</v>
      </c>
      <c r="N363" s="6">
        <f t="shared" ca="1" si="5"/>
        <v>43722</v>
      </c>
    </row>
    <row r="364" spans="1:14">
      <c r="A364" t="s">
        <v>402</v>
      </c>
      <c r="B364" t="s">
        <v>23</v>
      </c>
      <c r="C364" t="s">
        <v>10</v>
      </c>
      <c r="D364">
        <v>0</v>
      </c>
      <c r="E364" t="s">
        <v>7</v>
      </c>
      <c r="F364" t="s">
        <v>9</v>
      </c>
      <c r="G364">
        <v>4750</v>
      </c>
      <c r="H364">
        <v>2333</v>
      </c>
      <c r="I364">
        <v>130</v>
      </c>
      <c r="J364">
        <v>360</v>
      </c>
      <c r="K364">
        <v>1</v>
      </c>
      <c r="L364" t="s">
        <v>5</v>
      </c>
      <c r="M364" t="s">
        <v>39</v>
      </c>
      <c r="N364" s="6">
        <f t="shared" ca="1" si="5"/>
        <v>43750</v>
      </c>
    </row>
    <row r="365" spans="1:14">
      <c r="A365" t="s">
        <v>403</v>
      </c>
      <c r="B365" t="s">
        <v>23</v>
      </c>
      <c r="C365" t="s">
        <v>10</v>
      </c>
      <c r="D365">
        <v>0</v>
      </c>
      <c r="E365" t="s">
        <v>7</v>
      </c>
      <c r="F365" t="s">
        <v>9</v>
      </c>
      <c r="G365">
        <v>3013</v>
      </c>
      <c r="H365">
        <v>3033</v>
      </c>
      <c r="I365">
        <v>95</v>
      </c>
      <c r="J365">
        <v>300</v>
      </c>
      <c r="L365" t="s">
        <v>5</v>
      </c>
      <c r="M365" t="s">
        <v>39</v>
      </c>
      <c r="N365" s="6">
        <f t="shared" ca="1" si="5"/>
        <v>43664</v>
      </c>
    </row>
    <row r="366" spans="1:14">
      <c r="A366" t="s">
        <v>404</v>
      </c>
      <c r="B366" t="s">
        <v>23</v>
      </c>
      <c r="C366" t="s">
        <v>9</v>
      </c>
      <c r="D366">
        <v>0</v>
      </c>
      <c r="E366" t="s">
        <v>7</v>
      </c>
      <c r="F366" t="s">
        <v>10</v>
      </c>
      <c r="G366">
        <v>6822</v>
      </c>
      <c r="H366">
        <v>0</v>
      </c>
      <c r="I366">
        <v>141</v>
      </c>
      <c r="J366">
        <v>360</v>
      </c>
      <c r="K366">
        <v>1</v>
      </c>
      <c r="L366" t="s">
        <v>3</v>
      </c>
      <c r="M366" t="s">
        <v>39</v>
      </c>
      <c r="N366" s="6">
        <f t="shared" ca="1" si="5"/>
        <v>43582</v>
      </c>
    </row>
    <row r="367" spans="1:14">
      <c r="A367" t="s">
        <v>405</v>
      </c>
      <c r="B367" t="s">
        <v>23</v>
      </c>
      <c r="C367" t="s">
        <v>9</v>
      </c>
      <c r="D367">
        <v>0</v>
      </c>
      <c r="E367" t="s">
        <v>11</v>
      </c>
      <c r="F367" t="s">
        <v>9</v>
      </c>
      <c r="G367">
        <v>6216</v>
      </c>
      <c r="H367">
        <v>0</v>
      </c>
      <c r="I367">
        <v>133</v>
      </c>
      <c r="J367">
        <v>360</v>
      </c>
      <c r="K367">
        <v>1</v>
      </c>
      <c r="L367" t="s">
        <v>3</v>
      </c>
      <c r="M367" t="s">
        <v>41</v>
      </c>
      <c r="N367" s="6">
        <f t="shared" ca="1" si="5"/>
        <v>43752</v>
      </c>
    </row>
    <row r="368" spans="1:14">
      <c r="A368" t="s">
        <v>406</v>
      </c>
      <c r="B368" t="s">
        <v>23</v>
      </c>
      <c r="C368" t="s">
        <v>9</v>
      </c>
      <c r="D368">
        <v>0</v>
      </c>
      <c r="E368" t="s">
        <v>7</v>
      </c>
      <c r="F368" t="s">
        <v>9</v>
      </c>
      <c r="G368">
        <v>2500</v>
      </c>
      <c r="H368">
        <v>0</v>
      </c>
      <c r="I368">
        <v>96</v>
      </c>
      <c r="J368">
        <v>480</v>
      </c>
      <c r="K368">
        <v>1</v>
      </c>
      <c r="L368" t="s">
        <v>4</v>
      </c>
      <c r="M368" t="s">
        <v>41</v>
      </c>
      <c r="N368" s="6">
        <f t="shared" ca="1" si="5"/>
        <v>43588</v>
      </c>
    </row>
    <row r="369" spans="1:14">
      <c r="A369" t="s">
        <v>407</v>
      </c>
      <c r="B369" t="s">
        <v>23</v>
      </c>
      <c r="C369" t="s">
        <v>9</v>
      </c>
      <c r="D369">
        <v>0</v>
      </c>
      <c r="E369" t="s">
        <v>7</v>
      </c>
      <c r="F369" t="s">
        <v>9</v>
      </c>
      <c r="G369">
        <v>5124</v>
      </c>
      <c r="H369">
        <v>0</v>
      </c>
      <c r="I369">
        <v>124</v>
      </c>
      <c r="K369">
        <v>0</v>
      </c>
      <c r="L369" t="s">
        <v>3</v>
      </c>
      <c r="M369" t="s">
        <v>41</v>
      </c>
      <c r="N369" s="6">
        <f t="shared" ca="1" si="5"/>
        <v>43639</v>
      </c>
    </row>
    <row r="370" spans="1:14">
      <c r="A370" t="s">
        <v>408</v>
      </c>
      <c r="B370" t="s">
        <v>23</v>
      </c>
      <c r="C370" t="s">
        <v>10</v>
      </c>
      <c r="D370">
        <v>1</v>
      </c>
      <c r="E370" t="s">
        <v>7</v>
      </c>
      <c r="F370" t="s">
        <v>9</v>
      </c>
      <c r="G370">
        <v>6325</v>
      </c>
      <c r="H370">
        <v>0</v>
      </c>
      <c r="I370">
        <v>175</v>
      </c>
      <c r="J370">
        <v>360</v>
      </c>
      <c r="K370">
        <v>1</v>
      </c>
      <c r="L370" t="s">
        <v>4</v>
      </c>
      <c r="M370" t="s">
        <v>39</v>
      </c>
      <c r="N370" s="6">
        <f t="shared" ca="1" si="5"/>
        <v>43687</v>
      </c>
    </row>
    <row r="371" spans="1:14">
      <c r="A371" t="s">
        <v>409</v>
      </c>
      <c r="B371" t="s">
        <v>23</v>
      </c>
      <c r="C371" t="s">
        <v>10</v>
      </c>
      <c r="D371">
        <v>0</v>
      </c>
      <c r="E371" t="s">
        <v>7</v>
      </c>
      <c r="F371" t="s">
        <v>9</v>
      </c>
      <c r="G371">
        <v>19730</v>
      </c>
      <c r="H371">
        <v>5266</v>
      </c>
      <c r="I371">
        <v>570</v>
      </c>
      <c r="J371">
        <v>360</v>
      </c>
      <c r="K371">
        <v>1</v>
      </c>
      <c r="L371" t="s">
        <v>3</v>
      </c>
      <c r="M371" t="s">
        <v>41</v>
      </c>
      <c r="N371" s="6">
        <f t="shared" ca="1" si="5"/>
        <v>43757</v>
      </c>
    </row>
    <row r="372" spans="1:14">
      <c r="A372" t="s">
        <v>410</v>
      </c>
      <c r="B372" t="s">
        <v>8</v>
      </c>
      <c r="C372" t="s">
        <v>9</v>
      </c>
      <c r="D372">
        <v>0</v>
      </c>
      <c r="E372" t="s">
        <v>7</v>
      </c>
      <c r="F372" t="s">
        <v>10</v>
      </c>
      <c r="G372">
        <v>15759</v>
      </c>
      <c r="H372">
        <v>0</v>
      </c>
      <c r="I372">
        <v>55</v>
      </c>
      <c r="J372">
        <v>360</v>
      </c>
      <c r="K372">
        <v>1</v>
      </c>
      <c r="L372" t="s">
        <v>4</v>
      </c>
      <c r="M372" t="s">
        <v>39</v>
      </c>
      <c r="N372" s="6">
        <f t="shared" ca="1" si="5"/>
        <v>43546</v>
      </c>
    </row>
    <row r="373" spans="1:14">
      <c r="A373" t="s">
        <v>411</v>
      </c>
      <c r="B373" t="s">
        <v>23</v>
      </c>
      <c r="C373" t="s">
        <v>10</v>
      </c>
      <c r="D373">
        <v>2</v>
      </c>
      <c r="E373" t="s">
        <v>7</v>
      </c>
      <c r="F373" t="s">
        <v>9</v>
      </c>
      <c r="G373">
        <v>5185</v>
      </c>
      <c r="H373">
        <v>0</v>
      </c>
      <c r="I373">
        <v>155</v>
      </c>
      <c r="J373">
        <v>360</v>
      </c>
      <c r="K373">
        <v>1</v>
      </c>
      <c r="L373" t="s">
        <v>4</v>
      </c>
      <c r="M373" t="s">
        <v>39</v>
      </c>
      <c r="N373" s="6">
        <f t="shared" ca="1" si="5"/>
        <v>43616</v>
      </c>
    </row>
    <row r="374" spans="1:14">
      <c r="A374" t="s">
        <v>412</v>
      </c>
      <c r="B374" t="s">
        <v>23</v>
      </c>
      <c r="C374" t="s">
        <v>10</v>
      </c>
      <c r="D374">
        <v>2</v>
      </c>
      <c r="E374" t="s">
        <v>7</v>
      </c>
      <c r="F374" t="s">
        <v>10</v>
      </c>
      <c r="G374">
        <v>9323</v>
      </c>
      <c r="H374">
        <v>7873</v>
      </c>
      <c r="I374">
        <v>380</v>
      </c>
      <c r="J374">
        <v>300</v>
      </c>
      <c r="K374">
        <v>1</v>
      </c>
      <c r="L374" t="s">
        <v>3</v>
      </c>
      <c r="M374" t="s">
        <v>39</v>
      </c>
      <c r="N374" s="6">
        <f t="shared" ca="1" si="5"/>
        <v>43734</v>
      </c>
    </row>
    <row r="375" spans="1:14">
      <c r="A375" t="s">
        <v>413</v>
      </c>
      <c r="B375" t="s">
        <v>23</v>
      </c>
      <c r="C375" t="s">
        <v>9</v>
      </c>
      <c r="D375">
        <v>1</v>
      </c>
      <c r="E375" t="s">
        <v>7</v>
      </c>
      <c r="F375" t="s">
        <v>9</v>
      </c>
      <c r="G375">
        <v>3062</v>
      </c>
      <c r="H375">
        <v>1987</v>
      </c>
      <c r="I375">
        <v>111</v>
      </c>
      <c r="J375">
        <v>180</v>
      </c>
      <c r="K375">
        <v>0</v>
      </c>
      <c r="L375" t="s">
        <v>5</v>
      </c>
      <c r="M375" t="s">
        <v>41</v>
      </c>
      <c r="N375" s="6">
        <f t="shared" ca="1" si="5"/>
        <v>43615</v>
      </c>
    </row>
    <row r="376" spans="1:14">
      <c r="A376" t="s">
        <v>414</v>
      </c>
      <c r="B376" t="s">
        <v>8</v>
      </c>
      <c r="C376" t="s">
        <v>9</v>
      </c>
      <c r="D376">
        <v>0</v>
      </c>
      <c r="E376" t="s">
        <v>7</v>
      </c>
      <c r="F376" t="s">
        <v>20</v>
      </c>
      <c r="G376">
        <v>2764</v>
      </c>
      <c r="H376">
        <v>1459</v>
      </c>
      <c r="I376">
        <v>110</v>
      </c>
      <c r="J376">
        <v>360</v>
      </c>
      <c r="K376">
        <v>1</v>
      </c>
      <c r="L376" t="s">
        <v>5</v>
      </c>
      <c r="M376" t="s">
        <v>39</v>
      </c>
      <c r="N376" s="6">
        <f t="shared" ca="1" si="5"/>
        <v>43726</v>
      </c>
    </row>
    <row r="377" spans="1:14">
      <c r="A377" t="s">
        <v>415</v>
      </c>
      <c r="B377" t="s">
        <v>23</v>
      </c>
      <c r="C377" t="s">
        <v>10</v>
      </c>
      <c r="D377">
        <v>0</v>
      </c>
      <c r="E377" t="s">
        <v>7</v>
      </c>
      <c r="F377" t="s">
        <v>9</v>
      </c>
      <c r="G377">
        <v>4817</v>
      </c>
      <c r="H377">
        <v>923</v>
      </c>
      <c r="I377">
        <v>120</v>
      </c>
      <c r="J377">
        <v>180</v>
      </c>
      <c r="K377">
        <v>1</v>
      </c>
      <c r="L377" t="s">
        <v>5</v>
      </c>
      <c r="M377" t="s">
        <v>39</v>
      </c>
      <c r="N377" s="6">
        <f t="shared" ca="1" si="5"/>
        <v>43521</v>
      </c>
    </row>
    <row r="378" spans="1:14">
      <c r="A378" t="s">
        <v>416</v>
      </c>
      <c r="B378" t="s">
        <v>23</v>
      </c>
      <c r="C378" t="s">
        <v>10</v>
      </c>
      <c r="D378">
        <v>3</v>
      </c>
      <c r="E378" t="s">
        <v>7</v>
      </c>
      <c r="F378" t="s">
        <v>9</v>
      </c>
      <c r="G378">
        <v>8750</v>
      </c>
      <c r="H378">
        <v>4996</v>
      </c>
      <c r="I378">
        <v>130</v>
      </c>
      <c r="J378">
        <v>360</v>
      </c>
      <c r="K378">
        <v>1</v>
      </c>
      <c r="L378" t="s">
        <v>3</v>
      </c>
      <c r="M378" t="s">
        <v>39</v>
      </c>
      <c r="N378" s="6">
        <f t="shared" ca="1" si="5"/>
        <v>43731</v>
      </c>
    </row>
    <row r="379" spans="1:14">
      <c r="A379" t="s">
        <v>417</v>
      </c>
      <c r="B379" t="s">
        <v>23</v>
      </c>
      <c r="C379" t="s">
        <v>10</v>
      </c>
      <c r="D379">
        <v>0</v>
      </c>
      <c r="E379" t="s">
        <v>7</v>
      </c>
      <c r="F379" t="s">
        <v>9</v>
      </c>
      <c r="G379">
        <v>4310</v>
      </c>
      <c r="H379">
        <v>0</v>
      </c>
      <c r="I379">
        <v>130</v>
      </c>
      <c r="J379">
        <v>360</v>
      </c>
      <c r="L379" t="s">
        <v>4</v>
      </c>
      <c r="M379" t="s">
        <v>39</v>
      </c>
      <c r="N379" s="6">
        <f t="shared" ca="1" si="5"/>
        <v>43486</v>
      </c>
    </row>
    <row r="380" spans="1:14">
      <c r="A380" t="s">
        <v>418</v>
      </c>
      <c r="B380" t="s">
        <v>23</v>
      </c>
      <c r="C380" t="s">
        <v>9</v>
      </c>
      <c r="D380">
        <v>0</v>
      </c>
      <c r="E380" t="s">
        <v>7</v>
      </c>
      <c r="F380" t="s">
        <v>9</v>
      </c>
      <c r="G380">
        <v>3069</v>
      </c>
      <c r="H380">
        <v>0</v>
      </c>
      <c r="I380">
        <v>71</v>
      </c>
      <c r="J380">
        <v>480</v>
      </c>
      <c r="K380">
        <v>1</v>
      </c>
      <c r="L380" t="s">
        <v>5</v>
      </c>
      <c r="M380" t="s">
        <v>41</v>
      </c>
      <c r="N380" s="6">
        <f t="shared" ca="1" si="5"/>
        <v>43481</v>
      </c>
    </row>
    <row r="381" spans="1:14">
      <c r="A381" t="s">
        <v>419</v>
      </c>
      <c r="B381" t="s">
        <v>23</v>
      </c>
      <c r="C381" t="s">
        <v>10</v>
      </c>
      <c r="D381">
        <v>2</v>
      </c>
      <c r="E381" t="s">
        <v>7</v>
      </c>
      <c r="F381" t="s">
        <v>9</v>
      </c>
      <c r="G381">
        <v>5391</v>
      </c>
      <c r="H381">
        <v>0</v>
      </c>
      <c r="I381">
        <v>130</v>
      </c>
      <c r="J381">
        <v>360</v>
      </c>
      <c r="K381">
        <v>1</v>
      </c>
      <c r="L381" t="s">
        <v>5</v>
      </c>
      <c r="M381" t="s">
        <v>39</v>
      </c>
      <c r="N381" s="6">
        <f t="shared" ca="1" si="5"/>
        <v>43701</v>
      </c>
    </row>
    <row r="382" spans="1:14">
      <c r="A382" t="s">
        <v>420</v>
      </c>
      <c r="B382" t="s">
        <v>23</v>
      </c>
      <c r="C382" t="s">
        <v>10</v>
      </c>
      <c r="D382">
        <v>0</v>
      </c>
      <c r="E382" t="s">
        <v>7</v>
      </c>
      <c r="F382" t="s">
        <v>20</v>
      </c>
      <c r="G382">
        <v>3333</v>
      </c>
      <c r="H382">
        <v>2500</v>
      </c>
      <c r="I382">
        <v>128</v>
      </c>
      <c r="J382">
        <v>360</v>
      </c>
      <c r="K382">
        <v>1</v>
      </c>
      <c r="L382" t="s">
        <v>4</v>
      </c>
      <c r="M382" t="s">
        <v>39</v>
      </c>
      <c r="N382" s="6">
        <f t="shared" ca="1" si="5"/>
        <v>43717</v>
      </c>
    </row>
    <row r="383" spans="1:14">
      <c r="A383" t="s">
        <v>421</v>
      </c>
      <c r="B383" t="s">
        <v>23</v>
      </c>
      <c r="C383" t="s">
        <v>9</v>
      </c>
      <c r="D383">
        <v>0</v>
      </c>
      <c r="E383" t="s">
        <v>7</v>
      </c>
      <c r="F383" t="s">
        <v>9</v>
      </c>
      <c r="G383">
        <v>5941</v>
      </c>
      <c r="H383">
        <v>4232</v>
      </c>
      <c r="I383">
        <v>296</v>
      </c>
      <c r="J383">
        <v>360</v>
      </c>
      <c r="K383">
        <v>1</v>
      </c>
      <c r="L383" t="s">
        <v>4</v>
      </c>
      <c r="M383" t="s">
        <v>39</v>
      </c>
      <c r="N383" s="6">
        <f t="shared" ca="1" si="5"/>
        <v>43491</v>
      </c>
    </row>
    <row r="384" spans="1:14">
      <c r="A384" t="s">
        <v>422</v>
      </c>
      <c r="B384" t="s">
        <v>8</v>
      </c>
      <c r="C384" t="s">
        <v>9</v>
      </c>
      <c r="D384">
        <v>0</v>
      </c>
      <c r="E384" t="s">
        <v>7</v>
      </c>
      <c r="F384" t="s">
        <v>9</v>
      </c>
      <c r="G384">
        <v>6000</v>
      </c>
      <c r="H384">
        <v>0</v>
      </c>
      <c r="I384">
        <v>156</v>
      </c>
      <c r="J384">
        <v>360</v>
      </c>
      <c r="K384">
        <v>1</v>
      </c>
      <c r="L384" t="s">
        <v>5</v>
      </c>
      <c r="M384" t="s">
        <v>39</v>
      </c>
      <c r="N384" s="6">
        <f t="shared" ca="1" si="5"/>
        <v>43795</v>
      </c>
    </row>
    <row r="385" spans="1:14">
      <c r="A385" t="s">
        <v>423</v>
      </c>
      <c r="B385" t="s">
        <v>23</v>
      </c>
      <c r="C385" t="s">
        <v>9</v>
      </c>
      <c r="D385">
        <v>0</v>
      </c>
      <c r="E385" t="s">
        <v>7</v>
      </c>
      <c r="F385" t="s">
        <v>10</v>
      </c>
      <c r="G385">
        <v>7167</v>
      </c>
      <c r="H385">
        <v>0</v>
      </c>
      <c r="I385">
        <v>128</v>
      </c>
      <c r="J385">
        <v>360</v>
      </c>
      <c r="K385">
        <v>1</v>
      </c>
      <c r="L385" t="s">
        <v>5</v>
      </c>
      <c r="M385" t="s">
        <v>39</v>
      </c>
      <c r="N385" s="6">
        <f t="shared" ca="1" si="5"/>
        <v>43756</v>
      </c>
    </row>
    <row r="386" spans="1:14">
      <c r="A386" t="s">
        <v>424</v>
      </c>
      <c r="B386" t="s">
        <v>23</v>
      </c>
      <c r="C386" t="s">
        <v>10</v>
      </c>
      <c r="D386">
        <v>2</v>
      </c>
      <c r="E386" t="s">
        <v>7</v>
      </c>
      <c r="F386" t="s">
        <v>9</v>
      </c>
      <c r="G386">
        <v>4566</v>
      </c>
      <c r="H386">
        <v>0</v>
      </c>
      <c r="I386">
        <v>100</v>
      </c>
      <c r="J386">
        <v>360</v>
      </c>
      <c r="K386">
        <v>1</v>
      </c>
      <c r="L386" t="s">
        <v>5</v>
      </c>
      <c r="M386" t="s">
        <v>41</v>
      </c>
      <c r="N386" s="6">
        <f t="shared" ref="N386:N449" ca="1" si="6">RANDBETWEEN(DATE(2019,1,1),DATE(2019,12,31))</f>
        <v>43546</v>
      </c>
    </row>
    <row r="387" spans="1:14">
      <c r="A387" t="s">
        <v>425</v>
      </c>
      <c r="B387" t="s">
        <v>23</v>
      </c>
      <c r="C387" t="s">
        <v>9</v>
      </c>
      <c r="D387">
        <v>1</v>
      </c>
      <c r="E387" t="s">
        <v>7</v>
      </c>
      <c r="F387" t="s">
        <v>20</v>
      </c>
      <c r="G387">
        <v>3667</v>
      </c>
      <c r="H387">
        <v>0</v>
      </c>
      <c r="I387">
        <v>113</v>
      </c>
      <c r="J387">
        <v>180</v>
      </c>
      <c r="K387">
        <v>1</v>
      </c>
      <c r="L387" t="s">
        <v>5</v>
      </c>
      <c r="M387" t="s">
        <v>39</v>
      </c>
      <c r="N387" s="6">
        <f t="shared" ca="1" si="6"/>
        <v>43659</v>
      </c>
    </row>
    <row r="388" spans="1:14">
      <c r="A388" t="s">
        <v>426</v>
      </c>
      <c r="B388" t="s">
        <v>23</v>
      </c>
      <c r="C388" t="s">
        <v>9</v>
      </c>
      <c r="D388">
        <v>0</v>
      </c>
      <c r="E388" t="s">
        <v>11</v>
      </c>
      <c r="F388" t="s">
        <v>9</v>
      </c>
      <c r="G388">
        <v>2346</v>
      </c>
      <c r="H388">
        <v>1600</v>
      </c>
      <c r="I388">
        <v>132</v>
      </c>
      <c r="J388">
        <v>360</v>
      </c>
      <c r="K388">
        <v>1</v>
      </c>
      <c r="L388" t="s">
        <v>4</v>
      </c>
      <c r="M388" t="s">
        <v>39</v>
      </c>
      <c r="N388" s="6">
        <f t="shared" ca="1" si="6"/>
        <v>43747</v>
      </c>
    </row>
    <row r="389" spans="1:14">
      <c r="A389" t="s">
        <v>427</v>
      </c>
      <c r="B389" t="s">
        <v>23</v>
      </c>
      <c r="C389" t="s">
        <v>10</v>
      </c>
      <c r="D389">
        <v>0</v>
      </c>
      <c r="E389" t="s">
        <v>11</v>
      </c>
      <c r="F389" t="s">
        <v>9</v>
      </c>
      <c r="G389">
        <v>3010</v>
      </c>
      <c r="H389">
        <v>3136</v>
      </c>
      <c r="J389">
        <v>360</v>
      </c>
      <c r="K389">
        <v>0</v>
      </c>
      <c r="L389" t="s">
        <v>5</v>
      </c>
      <c r="M389" t="s">
        <v>41</v>
      </c>
      <c r="N389" s="6">
        <f t="shared" ca="1" si="6"/>
        <v>43822</v>
      </c>
    </row>
    <row r="390" spans="1:14">
      <c r="A390" t="s">
        <v>428</v>
      </c>
      <c r="B390" t="s">
        <v>23</v>
      </c>
      <c r="C390" t="s">
        <v>10</v>
      </c>
      <c r="D390">
        <v>0</v>
      </c>
      <c r="E390" t="s">
        <v>7</v>
      </c>
      <c r="F390" t="s">
        <v>9</v>
      </c>
      <c r="G390">
        <v>2333</v>
      </c>
      <c r="H390">
        <v>2417</v>
      </c>
      <c r="I390">
        <v>136</v>
      </c>
      <c r="J390">
        <v>360</v>
      </c>
      <c r="K390">
        <v>1</v>
      </c>
      <c r="L390" t="s">
        <v>5</v>
      </c>
      <c r="M390" t="s">
        <v>39</v>
      </c>
      <c r="N390" s="6">
        <f t="shared" ca="1" si="6"/>
        <v>43805</v>
      </c>
    </row>
    <row r="391" spans="1:14">
      <c r="A391" t="s">
        <v>429</v>
      </c>
      <c r="B391" t="s">
        <v>23</v>
      </c>
      <c r="C391" t="s">
        <v>10</v>
      </c>
      <c r="D391">
        <v>0</v>
      </c>
      <c r="E391" t="s">
        <v>7</v>
      </c>
      <c r="F391" t="s">
        <v>9</v>
      </c>
      <c r="G391">
        <v>5488</v>
      </c>
      <c r="H391">
        <v>0</v>
      </c>
      <c r="I391">
        <v>125</v>
      </c>
      <c r="J391">
        <v>360</v>
      </c>
      <c r="K391">
        <v>1</v>
      </c>
      <c r="L391" t="s">
        <v>3</v>
      </c>
      <c r="M391" t="s">
        <v>39</v>
      </c>
      <c r="N391" s="6">
        <f t="shared" ca="1" si="6"/>
        <v>43514</v>
      </c>
    </row>
    <row r="392" spans="1:14">
      <c r="A392" t="s">
        <v>430</v>
      </c>
      <c r="B392" t="s">
        <v>23</v>
      </c>
      <c r="C392" t="s">
        <v>9</v>
      </c>
      <c r="D392">
        <v>3</v>
      </c>
      <c r="E392" t="s">
        <v>7</v>
      </c>
      <c r="F392" t="s">
        <v>9</v>
      </c>
      <c r="G392">
        <v>9167</v>
      </c>
      <c r="H392">
        <v>0</v>
      </c>
      <c r="I392">
        <v>185</v>
      </c>
      <c r="J392">
        <v>360</v>
      </c>
      <c r="K392">
        <v>1</v>
      </c>
      <c r="L392" t="s">
        <v>3</v>
      </c>
      <c r="M392" t="s">
        <v>39</v>
      </c>
      <c r="N392" s="6">
        <f t="shared" ca="1" si="6"/>
        <v>43796</v>
      </c>
    </row>
    <row r="393" spans="1:14">
      <c r="A393" t="s">
        <v>431</v>
      </c>
      <c r="B393" t="s">
        <v>23</v>
      </c>
      <c r="C393" t="s">
        <v>10</v>
      </c>
      <c r="D393">
        <v>3</v>
      </c>
      <c r="E393" t="s">
        <v>7</v>
      </c>
      <c r="F393" t="s">
        <v>9</v>
      </c>
      <c r="G393">
        <v>9504</v>
      </c>
      <c r="H393">
        <v>0</v>
      </c>
      <c r="I393">
        <v>275</v>
      </c>
      <c r="J393">
        <v>360</v>
      </c>
      <c r="K393">
        <v>1</v>
      </c>
      <c r="L393" t="s">
        <v>3</v>
      </c>
      <c r="M393" t="s">
        <v>39</v>
      </c>
      <c r="N393" s="6">
        <f t="shared" ca="1" si="6"/>
        <v>43600</v>
      </c>
    </row>
    <row r="394" spans="1:14">
      <c r="A394" t="s">
        <v>432</v>
      </c>
      <c r="B394" t="s">
        <v>23</v>
      </c>
      <c r="C394" t="s">
        <v>10</v>
      </c>
      <c r="D394">
        <v>0</v>
      </c>
      <c r="E394" t="s">
        <v>7</v>
      </c>
      <c r="F394" t="s">
        <v>9</v>
      </c>
      <c r="G394">
        <v>2583</v>
      </c>
      <c r="H394">
        <v>2115</v>
      </c>
      <c r="I394">
        <v>120</v>
      </c>
      <c r="J394">
        <v>360</v>
      </c>
      <c r="L394" t="s">
        <v>5</v>
      </c>
      <c r="M394" t="s">
        <v>39</v>
      </c>
      <c r="N394" s="6">
        <f t="shared" ca="1" si="6"/>
        <v>43535</v>
      </c>
    </row>
    <row r="395" spans="1:14">
      <c r="A395" t="s">
        <v>433</v>
      </c>
      <c r="B395" t="s">
        <v>23</v>
      </c>
      <c r="C395" t="s">
        <v>10</v>
      </c>
      <c r="D395">
        <v>2</v>
      </c>
      <c r="E395" t="s">
        <v>11</v>
      </c>
      <c r="F395" t="s">
        <v>9</v>
      </c>
      <c r="G395">
        <v>1993</v>
      </c>
      <c r="H395">
        <v>1625</v>
      </c>
      <c r="I395">
        <v>113</v>
      </c>
      <c r="J395">
        <v>180</v>
      </c>
      <c r="K395">
        <v>1</v>
      </c>
      <c r="L395" t="s">
        <v>4</v>
      </c>
      <c r="M395" t="s">
        <v>39</v>
      </c>
      <c r="N395" s="6">
        <f t="shared" ca="1" si="6"/>
        <v>43539</v>
      </c>
    </row>
    <row r="396" spans="1:14">
      <c r="A396" t="s">
        <v>434</v>
      </c>
      <c r="B396" t="s">
        <v>23</v>
      </c>
      <c r="C396" t="s">
        <v>10</v>
      </c>
      <c r="D396">
        <v>2</v>
      </c>
      <c r="E396" t="s">
        <v>7</v>
      </c>
      <c r="F396" t="s">
        <v>9</v>
      </c>
      <c r="G396">
        <v>3100</v>
      </c>
      <c r="H396">
        <v>1400</v>
      </c>
      <c r="I396">
        <v>113</v>
      </c>
      <c r="J396">
        <v>360</v>
      </c>
      <c r="K396">
        <v>1</v>
      </c>
      <c r="L396" t="s">
        <v>5</v>
      </c>
      <c r="M396" t="s">
        <v>39</v>
      </c>
      <c r="N396" s="6">
        <f t="shared" ca="1" si="6"/>
        <v>43583</v>
      </c>
    </row>
    <row r="397" spans="1:14">
      <c r="A397" t="s">
        <v>435</v>
      </c>
      <c r="B397" t="s">
        <v>23</v>
      </c>
      <c r="C397" t="s">
        <v>10</v>
      </c>
      <c r="D397">
        <v>2</v>
      </c>
      <c r="E397" t="s">
        <v>7</v>
      </c>
      <c r="F397" t="s">
        <v>9</v>
      </c>
      <c r="G397">
        <v>3276</v>
      </c>
      <c r="H397">
        <v>484</v>
      </c>
      <c r="I397">
        <v>13500</v>
      </c>
      <c r="J397">
        <v>360</v>
      </c>
      <c r="L397" t="s">
        <v>4</v>
      </c>
      <c r="M397" t="s">
        <v>39</v>
      </c>
      <c r="N397" s="6">
        <f t="shared" ca="1" si="6"/>
        <v>43664</v>
      </c>
    </row>
    <row r="398" spans="1:14">
      <c r="A398" t="s">
        <v>436</v>
      </c>
      <c r="B398" t="s">
        <v>8</v>
      </c>
      <c r="C398" t="s">
        <v>9</v>
      </c>
      <c r="D398">
        <v>0</v>
      </c>
      <c r="E398" t="s">
        <v>7</v>
      </c>
      <c r="F398" t="s">
        <v>9</v>
      </c>
      <c r="G398">
        <v>3180</v>
      </c>
      <c r="H398">
        <v>0</v>
      </c>
      <c r="I398">
        <v>71</v>
      </c>
      <c r="J398">
        <v>360</v>
      </c>
      <c r="K398">
        <v>0</v>
      </c>
      <c r="L398" t="s">
        <v>5</v>
      </c>
      <c r="M398" t="s">
        <v>41</v>
      </c>
      <c r="N398" s="6">
        <f t="shared" ca="1" si="6"/>
        <v>43631</v>
      </c>
    </row>
    <row r="399" spans="1:14">
      <c r="A399" t="s">
        <v>437</v>
      </c>
      <c r="B399" t="s">
        <v>23</v>
      </c>
      <c r="C399" t="s">
        <v>10</v>
      </c>
      <c r="D399">
        <v>0</v>
      </c>
      <c r="E399" t="s">
        <v>7</v>
      </c>
      <c r="F399" t="s">
        <v>9</v>
      </c>
      <c r="G399">
        <v>3033</v>
      </c>
      <c r="H399">
        <v>1459</v>
      </c>
      <c r="I399">
        <v>95</v>
      </c>
      <c r="J399">
        <v>360</v>
      </c>
      <c r="K399">
        <v>1</v>
      </c>
      <c r="L399" t="s">
        <v>5</v>
      </c>
      <c r="M399" t="s">
        <v>39</v>
      </c>
      <c r="N399" s="6">
        <f t="shared" ca="1" si="6"/>
        <v>43738</v>
      </c>
    </row>
    <row r="400" spans="1:14">
      <c r="A400" t="s">
        <v>438</v>
      </c>
      <c r="B400" t="s">
        <v>23</v>
      </c>
      <c r="C400" t="s">
        <v>9</v>
      </c>
      <c r="D400">
        <v>0</v>
      </c>
      <c r="E400" t="s">
        <v>11</v>
      </c>
      <c r="F400" t="s">
        <v>9</v>
      </c>
      <c r="G400">
        <v>3902</v>
      </c>
      <c r="H400">
        <v>1666</v>
      </c>
      <c r="I400">
        <v>109</v>
      </c>
      <c r="J400">
        <v>360</v>
      </c>
      <c r="K400">
        <v>1</v>
      </c>
      <c r="L400" t="s">
        <v>3</v>
      </c>
      <c r="M400" t="s">
        <v>39</v>
      </c>
      <c r="N400" s="6">
        <f t="shared" ca="1" si="6"/>
        <v>43754</v>
      </c>
    </row>
    <row r="401" spans="1:14">
      <c r="A401" t="s">
        <v>439</v>
      </c>
      <c r="B401" t="s">
        <v>8</v>
      </c>
      <c r="C401" t="s">
        <v>9</v>
      </c>
      <c r="D401">
        <v>0</v>
      </c>
      <c r="E401" t="s">
        <v>7</v>
      </c>
      <c r="F401" t="s">
        <v>9</v>
      </c>
      <c r="G401">
        <v>1500</v>
      </c>
      <c r="H401">
        <v>1800</v>
      </c>
      <c r="I401">
        <v>103</v>
      </c>
      <c r="J401">
        <v>360</v>
      </c>
      <c r="K401">
        <v>0</v>
      </c>
      <c r="L401" t="s">
        <v>4</v>
      </c>
      <c r="M401" t="s">
        <v>41</v>
      </c>
      <c r="N401" s="6">
        <f t="shared" ca="1" si="6"/>
        <v>43695</v>
      </c>
    </row>
    <row r="402" spans="1:14">
      <c r="A402" t="s">
        <v>440</v>
      </c>
      <c r="B402" t="s">
        <v>23</v>
      </c>
      <c r="C402" t="s">
        <v>10</v>
      </c>
      <c r="D402">
        <v>2</v>
      </c>
      <c r="E402" t="s">
        <v>11</v>
      </c>
      <c r="F402" t="s">
        <v>9</v>
      </c>
      <c r="G402">
        <v>2889</v>
      </c>
      <c r="H402">
        <v>0</v>
      </c>
      <c r="I402">
        <v>4500</v>
      </c>
      <c r="J402">
        <v>180</v>
      </c>
      <c r="K402">
        <v>0</v>
      </c>
      <c r="L402" t="s">
        <v>5</v>
      </c>
      <c r="M402" t="s">
        <v>41</v>
      </c>
      <c r="N402" s="6">
        <f t="shared" ca="1" si="6"/>
        <v>43600</v>
      </c>
    </row>
    <row r="403" spans="1:14">
      <c r="A403" t="s">
        <v>441</v>
      </c>
      <c r="B403" t="s">
        <v>23</v>
      </c>
      <c r="C403" t="s">
        <v>9</v>
      </c>
      <c r="D403">
        <v>0</v>
      </c>
      <c r="E403" t="s">
        <v>11</v>
      </c>
      <c r="F403" t="s">
        <v>9</v>
      </c>
      <c r="G403">
        <v>2755</v>
      </c>
      <c r="H403">
        <v>0</v>
      </c>
      <c r="I403">
        <v>65</v>
      </c>
      <c r="J403">
        <v>300</v>
      </c>
      <c r="K403">
        <v>1</v>
      </c>
      <c r="L403" t="s">
        <v>3</v>
      </c>
      <c r="M403" t="s">
        <v>41</v>
      </c>
      <c r="N403" s="6">
        <f t="shared" ca="1" si="6"/>
        <v>43733</v>
      </c>
    </row>
    <row r="404" spans="1:14">
      <c r="A404" t="s">
        <v>442</v>
      </c>
      <c r="B404" t="s">
        <v>23</v>
      </c>
      <c r="C404" t="s">
        <v>9</v>
      </c>
      <c r="D404">
        <v>0</v>
      </c>
      <c r="E404" t="s">
        <v>7</v>
      </c>
      <c r="F404" t="s">
        <v>9</v>
      </c>
      <c r="G404">
        <v>2500</v>
      </c>
      <c r="H404">
        <v>20000</v>
      </c>
      <c r="I404">
        <v>103</v>
      </c>
      <c r="J404">
        <v>360</v>
      </c>
      <c r="K404">
        <v>1</v>
      </c>
      <c r="L404" t="s">
        <v>4</v>
      </c>
      <c r="M404" t="s">
        <v>39</v>
      </c>
      <c r="N404" s="6">
        <f t="shared" ca="1" si="6"/>
        <v>43478</v>
      </c>
    </row>
    <row r="405" spans="1:14">
      <c r="A405" t="s">
        <v>443</v>
      </c>
      <c r="B405" t="s">
        <v>8</v>
      </c>
      <c r="C405" t="s">
        <v>9</v>
      </c>
      <c r="D405">
        <v>0</v>
      </c>
      <c r="E405" t="s">
        <v>11</v>
      </c>
      <c r="F405" t="s">
        <v>9</v>
      </c>
      <c r="G405">
        <v>1963</v>
      </c>
      <c r="H405">
        <v>0</v>
      </c>
      <c r="I405">
        <v>53</v>
      </c>
      <c r="J405">
        <v>360</v>
      </c>
      <c r="K405">
        <v>1</v>
      </c>
      <c r="L405" t="s">
        <v>4</v>
      </c>
      <c r="M405" t="s">
        <v>39</v>
      </c>
      <c r="N405" s="6">
        <f t="shared" ca="1" si="6"/>
        <v>43493</v>
      </c>
    </row>
    <row r="406" spans="1:14">
      <c r="A406" t="s">
        <v>444</v>
      </c>
      <c r="B406" t="s">
        <v>8</v>
      </c>
      <c r="C406" t="s">
        <v>9</v>
      </c>
      <c r="D406">
        <v>0</v>
      </c>
      <c r="E406" t="s">
        <v>7</v>
      </c>
      <c r="F406" t="s">
        <v>10</v>
      </c>
      <c r="G406">
        <v>7441</v>
      </c>
      <c r="H406">
        <v>0</v>
      </c>
      <c r="I406">
        <v>194</v>
      </c>
      <c r="J406">
        <v>360</v>
      </c>
      <c r="K406">
        <v>1</v>
      </c>
      <c r="L406" t="s">
        <v>3</v>
      </c>
      <c r="M406" t="s">
        <v>41</v>
      </c>
      <c r="N406" s="6">
        <f t="shared" ca="1" si="6"/>
        <v>43559</v>
      </c>
    </row>
    <row r="407" spans="1:14">
      <c r="A407" t="s">
        <v>445</v>
      </c>
      <c r="B407" t="s">
        <v>8</v>
      </c>
      <c r="C407" t="s">
        <v>9</v>
      </c>
      <c r="D407">
        <v>0</v>
      </c>
      <c r="E407" t="s">
        <v>7</v>
      </c>
      <c r="F407" t="s">
        <v>9</v>
      </c>
      <c r="G407">
        <v>4547</v>
      </c>
      <c r="H407">
        <v>0</v>
      </c>
      <c r="I407">
        <v>115</v>
      </c>
      <c r="J407">
        <v>360</v>
      </c>
      <c r="K407">
        <v>1</v>
      </c>
      <c r="L407" t="s">
        <v>4</v>
      </c>
      <c r="M407" t="s">
        <v>39</v>
      </c>
      <c r="N407" s="6">
        <f t="shared" ca="1" si="6"/>
        <v>43673</v>
      </c>
    </row>
    <row r="408" spans="1:14">
      <c r="A408" t="s">
        <v>446</v>
      </c>
      <c r="B408" t="s">
        <v>23</v>
      </c>
      <c r="C408" t="s">
        <v>10</v>
      </c>
      <c r="D408">
        <v>0</v>
      </c>
      <c r="E408" t="s">
        <v>11</v>
      </c>
      <c r="F408" t="s">
        <v>9</v>
      </c>
      <c r="G408">
        <v>2167</v>
      </c>
      <c r="H408">
        <v>2400</v>
      </c>
      <c r="I408">
        <v>115</v>
      </c>
      <c r="J408">
        <v>360</v>
      </c>
      <c r="K408">
        <v>1</v>
      </c>
      <c r="L408" t="s">
        <v>5</v>
      </c>
      <c r="M408" t="s">
        <v>39</v>
      </c>
      <c r="N408" s="6">
        <f t="shared" ca="1" si="6"/>
        <v>43830</v>
      </c>
    </row>
    <row r="409" spans="1:14">
      <c r="A409" t="s">
        <v>447</v>
      </c>
      <c r="B409" t="s">
        <v>8</v>
      </c>
      <c r="C409" t="s">
        <v>9</v>
      </c>
      <c r="D409">
        <v>0</v>
      </c>
      <c r="E409" t="s">
        <v>11</v>
      </c>
      <c r="F409" t="s">
        <v>9</v>
      </c>
      <c r="G409">
        <v>2213</v>
      </c>
      <c r="H409">
        <v>0</v>
      </c>
      <c r="I409">
        <v>66</v>
      </c>
      <c r="J409">
        <v>360</v>
      </c>
      <c r="K409">
        <v>1</v>
      </c>
      <c r="L409" t="s">
        <v>3</v>
      </c>
      <c r="M409" t="s">
        <v>39</v>
      </c>
      <c r="N409" s="6">
        <f t="shared" ca="1" si="6"/>
        <v>43721</v>
      </c>
    </row>
    <row r="410" spans="1:14">
      <c r="A410" t="s">
        <v>448</v>
      </c>
      <c r="B410" t="s">
        <v>23</v>
      </c>
      <c r="C410" t="s">
        <v>10</v>
      </c>
      <c r="D410">
        <v>1</v>
      </c>
      <c r="E410" t="s">
        <v>7</v>
      </c>
      <c r="F410" t="s">
        <v>9</v>
      </c>
      <c r="G410">
        <v>8300</v>
      </c>
      <c r="H410">
        <v>0</v>
      </c>
      <c r="I410">
        <v>152</v>
      </c>
      <c r="J410">
        <v>300</v>
      </c>
      <c r="K410">
        <v>0</v>
      </c>
      <c r="L410" t="s">
        <v>4</v>
      </c>
      <c r="M410" t="s">
        <v>41</v>
      </c>
      <c r="N410" s="6">
        <f t="shared" ca="1" si="6"/>
        <v>43669</v>
      </c>
    </row>
    <row r="411" spans="1:14">
      <c r="A411" t="s">
        <v>449</v>
      </c>
      <c r="B411" t="s">
        <v>23</v>
      </c>
      <c r="C411" t="s">
        <v>10</v>
      </c>
      <c r="D411">
        <v>3</v>
      </c>
      <c r="E411" t="s">
        <v>7</v>
      </c>
      <c r="F411" t="s">
        <v>9</v>
      </c>
      <c r="G411">
        <v>81000</v>
      </c>
      <c r="H411">
        <v>0</v>
      </c>
      <c r="I411">
        <v>360</v>
      </c>
      <c r="J411">
        <v>360</v>
      </c>
      <c r="K411">
        <v>0</v>
      </c>
      <c r="L411" t="s">
        <v>3</v>
      </c>
      <c r="M411" t="s">
        <v>41</v>
      </c>
      <c r="N411" s="6">
        <f t="shared" ca="1" si="6"/>
        <v>43509</v>
      </c>
    </row>
    <row r="412" spans="1:14">
      <c r="A412" t="s">
        <v>450</v>
      </c>
      <c r="B412" t="s">
        <v>8</v>
      </c>
      <c r="C412" t="s">
        <v>9</v>
      </c>
      <c r="D412">
        <v>1</v>
      </c>
      <c r="E412" t="s">
        <v>11</v>
      </c>
      <c r="F412" t="s">
        <v>10</v>
      </c>
      <c r="G412">
        <v>3867</v>
      </c>
      <c r="H412">
        <v>0</v>
      </c>
      <c r="I412">
        <v>62</v>
      </c>
      <c r="J412">
        <v>360</v>
      </c>
      <c r="K412">
        <v>1</v>
      </c>
      <c r="L412" t="s">
        <v>4</v>
      </c>
      <c r="M412" t="s">
        <v>41</v>
      </c>
      <c r="N412" s="6">
        <f t="shared" ca="1" si="6"/>
        <v>43467</v>
      </c>
    </row>
    <row r="413" spans="1:14">
      <c r="A413" t="s">
        <v>451</v>
      </c>
      <c r="B413" t="s">
        <v>23</v>
      </c>
      <c r="C413" t="s">
        <v>10</v>
      </c>
      <c r="D413">
        <v>0</v>
      </c>
      <c r="E413" t="s">
        <v>7</v>
      </c>
      <c r="F413" t="s">
        <v>20</v>
      </c>
      <c r="G413">
        <v>6256</v>
      </c>
      <c r="H413">
        <v>0</v>
      </c>
      <c r="I413">
        <v>160</v>
      </c>
      <c r="J413">
        <v>360</v>
      </c>
      <c r="L413" t="s">
        <v>5</v>
      </c>
      <c r="M413" t="s">
        <v>39</v>
      </c>
      <c r="N413" s="6">
        <f t="shared" ca="1" si="6"/>
        <v>43647</v>
      </c>
    </row>
    <row r="414" spans="1:14">
      <c r="A414" t="s">
        <v>452</v>
      </c>
      <c r="B414" t="s">
        <v>23</v>
      </c>
      <c r="C414" t="s">
        <v>10</v>
      </c>
      <c r="D414">
        <v>0</v>
      </c>
      <c r="E414" t="s">
        <v>11</v>
      </c>
      <c r="F414" t="s">
        <v>9</v>
      </c>
      <c r="G414">
        <v>6096</v>
      </c>
      <c r="H414">
        <v>0</v>
      </c>
      <c r="I414">
        <v>218</v>
      </c>
      <c r="J414">
        <v>360</v>
      </c>
      <c r="K414">
        <v>0</v>
      </c>
      <c r="L414" t="s">
        <v>3</v>
      </c>
      <c r="M414" t="s">
        <v>41</v>
      </c>
      <c r="N414" s="6">
        <f t="shared" ca="1" si="6"/>
        <v>43545</v>
      </c>
    </row>
    <row r="415" spans="1:14">
      <c r="A415" t="s">
        <v>453</v>
      </c>
      <c r="B415" t="s">
        <v>23</v>
      </c>
      <c r="C415" t="s">
        <v>10</v>
      </c>
      <c r="D415">
        <v>0</v>
      </c>
      <c r="E415" t="s">
        <v>11</v>
      </c>
      <c r="F415" t="s">
        <v>9</v>
      </c>
      <c r="G415">
        <v>2253</v>
      </c>
      <c r="H415">
        <v>2033</v>
      </c>
      <c r="I415">
        <v>110</v>
      </c>
      <c r="J415">
        <v>360</v>
      </c>
      <c r="K415">
        <v>1</v>
      </c>
      <c r="L415" t="s">
        <v>3</v>
      </c>
      <c r="M415" t="s">
        <v>39</v>
      </c>
      <c r="N415" s="6">
        <f t="shared" ca="1" si="6"/>
        <v>43575</v>
      </c>
    </row>
    <row r="416" spans="1:14">
      <c r="A416" t="s">
        <v>454</v>
      </c>
      <c r="B416" t="s">
        <v>8</v>
      </c>
      <c r="C416" t="s">
        <v>10</v>
      </c>
      <c r="D416">
        <v>0</v>
      </c>
      <c r="E416" t="s">
        <v>11</v>
      </c>
      <c r="F416" t="s">
        <v>9</v>
      </c>
      <c r="G416">
        <v>2149</v>
      </c>
      <c r="H416">
        <v>3237</v>
      </c>
      <c r="I416">
        <v>178</v>
      </c>
      <c r="J416">
        <v>360</v>
      </c>
      <c r="K416">
        <v>0</v>
      </c>
      <c r="L416" t="s">
        <v>4</v>
      </c>
      <c r="M416" t="s">
        <v>41</v>
      </c>
      <c r="N416" s="6">
        <f t="shared" ca="1" si="6"/>
        <v>43559</v>
      </c>
    </row>
    <row r="417" spans="1:14">
      <c r="A417" t="s">
        <v>455</v>
      </c>
      <c r="B417" t="s">
        <v>8</v>
      </c>
      <c r="C417" t="s">
        <v>9</v>
      </c>
      <c r="D417">
        <v>0</v>
      </c>
      <c r="E417" t="s">
        <v>7</v>
      </c>
      <c r="F417" t="s">
        <v>9</v>
      </c>
      <c r="G417">
        <v>2995</v>
      </c>
      <c r="H417">
        <v>0</v>
      </c>
      <c r="I417">
        <v>60</v>
      </c>
      <c r="J417">
        <v>360</v>
      </c>
      <c r="K417">
        <v>1</v>
      </c>
      <c r="L417" t="s">
        <v>5</v>
      </c>
      <c r="M417" t="s">
        <v>39</v>
      </c>
      <c r="N417" s="6">
        <f t="shared" ca="1" si="6"/>
        <v>43659</v>
      </c>
    </row>
    <row r="418" spans="1:14">
      <c r="A418" t="s">
        <v>456</v>
      </c>
      <c r="B418" t="s">
        <v>8</v>
      </c>
      <c r="C418" t="s">
        <v>9</v>
      </c>
      <c r="D418">
        <v>1</v>
      </c>
      <c r="E418" t="s">
        <v>7</v>
      </c>
      <c r="F418" t="s">
        <v>9</v>
      </c>
      <c r="G418">
        <v>2600</v>
      </c>
      <c r="H418">
        <v>0</v>
      </c>
      <c r="I418">
        <v>160</v>
      </c>
      <c r="J418">
        <v>360</v>
      </c>
      <c r="K418">
        <v>1</v>
      </c>
      <c r="L418" t="s">
        <v>5</v>
      </c>
      <c r="M418" t="s">
        <v>41</v>
      </c>
      <c r="N418" s="6">
        <f t="shared" ca="1" si="6"/>
        <v>43645</v>
      </c>
    </row>
    <row r="419" spans="1:14">
      <c r="A419" t="s">
        <v>457</v>
      </c>
      <c r="B419" t="s">
        <v>23</v>
      </c>
      <c r="C419" t="s">
        <v>10</v>
      </c>
      <c r="D419">
        <v>2</v>
      </c>
      <c r="E419" t="s">
        <v>7</v>
      </c>
      <c r="F419" t="s">
        <v>10</v>
      </c>
      <c r="G419">
        <v>1600</v>
      </c>
      <c r="H419">
        <v>20000</v>
      </c>
      <c r="I419">
        <v>239</v>
      </c>
      <c r="J419">
        <v>360</v>
      </c>
      <c r="K419">
        <v>1</v>
      </c>
      <c r="L419" t="s">
        <v>5</v>
      </c>
      <c r="M419" t="s">
        <v>41</v>
      </c>
      <c r="N419" s="6">
        <f t="shared" ca="1" si="6"/>
        <v>43720</v>
      </c>
    </row>
    <row r="420" spans="1:14">
      <c r="A420" t="s">
        <v>458</v>
      </c>
      <c r="B420" t="s">
        <v>23</v>
      </c>
      <c r="C420" t="s">
        <v>10</v>
      </c>
      <c r="D420">
        <v>0</v>
      </c>
      <c r="E420" t="s">
        <v>7</v>
      </c>
      <c r="F420" t="s">
        <v>9</v>
      </c>
      <c r="G420">
        <v>1025</v>
      </c>
      <c r="H420">
        <v>2773</v>
      </c>
      <c r="I420">
        <v>112</v>
      </c>
      <c r="J420">
        <v>360</v>
      </c>
      <c r="K420">
        <v>1</v>
      </c>
      <c r="L420" t="s">
        <v>3</v>
      </c>
      <c r="M420" t="s">
        <v>39</v>
      </c>
      <c r="N420" s="6">
        <f t="shared" ca="1" si="6"/>
        <v>43638</v>
      </c>
    </row>
    <row r="421" spans="1:14">
      <c r="A421" t="s">
        <v>459</v>
      </c>
      <c r="B421" t="s">
        <v>23</v>
      </c>
      <c r="C421" t="s">
        <v>10</v>
      </c>
      <c r="D421">
        <v>0</v>
      </c>
      <c r="E421" t="s">
        <v>7</v>
      </c>
      <c r="F421" t="s">
        <v>9</v>
      </c>
      <c r="G421">
        <v>3246</v>
      </c>
      <c r="H421">
        <v>1417</v>
      </c>
      <c r="I421">
        <v>138</v>
      </c>
      <c r="J421">
        <v>360</v>
      </c>
      <c r="K421">
        <v>1</v>
      </c>
      <c r="L421" t="s">
        <v>4</v>
      </c>
      <c r="M421" t="s">
        <v>39</v>
      </c>
      <c r="N421" s="6">
        <f t="shared" ca="1" si="6"/>
        <v>43764</v>
      </c>
    </row>
    <row r="422" spans="1:14">
      <c r="A422" t="s">
        <v>460</v>
      </c>
      <c r="B422" t="s">
        <v>23</v>
      </c>
      <c r="C422" t="s">
        <v>10</v>
      </c>
      <c r="D422">
        <v>0</v>
      </c>
      <c r="E422" t="s">
        <v>7</v>
      </c>
      <c r="F422" t="s">
        <v>9</v>
      </c>
      <c r="G422">
        <v>5829</v>
      </c>
      <c r="H422">
        <v>0</v>
      </c>
      <c r="I422">
        <v>138</v>
      </c>
      <c r="J422">
        <v>360</v>
      </c>
      <c r="K422">
        <v>1</v>
      </c>
      <c r="L422" t="s">
        <v>3</v>
      </c>
      <c r="M422" t="s">
        <v>39</v>
      </c>
      <c r="N422" s="6">
        <f t="shared" ca="1" si="6"/>
        <v>43568</v>
      </c>
    </row>
    <row r="423" spans="1:14">
      <c r="A423" t="s">
        <v>461</v>
      </c>
      <c r="B423" t="s">
        <v>8</v>
      </c>
      <c r="C423" t="s">
        <v>9</v>
      </c>
      <c r="D423">
        <v>0</v>
      </c>
      <c r="E423" t="s">
        <v>11</v>
      </c>
      <c r="F423" t="s">
        <v>9</v>
      </c>
      <c r="G423">
        <v>2720</v>
      </c>
      <c r="H423">
        <v>0</v>
      </c>
      <c r="I423">
        <v>80</v>
      </c>
      <c r="K423">
        <v>0</v>
      </c>
      <c r="L423" t="s">
        <v>5</v>
      </c>
      <c r="M423" t="s">
        <v>41</v>
      </c>
      <c r="N423" s="6">
        <f t="shared" ca="1" si="6"/>
        <v>43593</v>
      </c>
    </row>
    <row r="424" spans="1:14">
      <c r="A424" t="s">
        <v>462</v>
      </c>
      <c r="B424" t="s">
        <v>23</v>
      </c>
      <c r="C424" t="s">
        <v>10</v>
      </c>
      <c r="D424">
        <v>0</v>
      </c>
      <c r="E424" t="s">
        <v>7</v>
      </c>
      <c r="F424" t="s">
        <v>9</v>
      </c>
      <c r="G424">
        <v>1820</v>
      </c>
      <c r="H424">
        <v>1719</v>
      </c>
      <c r="I424">
        <v>100</v>
      </c>
      <c r="J424">
        <v>360</v>
      </c>
      <c r="K424">
        <v>1</v>
      </c>
      <c r="L424" t="s">
        <v>5</v>
      </c>
      <c r="M424" t="s">
        <v>39</v>
      </c>
      <c r="N424" s="6">
        <f t="shared" ca="1" si="6"/>
        <v>43766</v>
      </c>
    </row>
    <row r="425" spans="1:14">
      <c r="A425" t="s">
        <v>463</v>
      </c>
      <c r="B425" t="s">
        <v>23</v>
      </c>
      <c r="C425" t="s">
        <v>10</v>
      </c>
      <c r="D425">
        <v>1</v>
      </c>
      <c r="E425" t="s">
        <v>7</v>
      </c>
      <c r="F425" t="s">
        <v>9</v>
      </c>
      <c r="G425">
        <v>7250</v>
      </c>
      <c r="H425">
        <v>1667</v>
      </c>
      <c r="I425">
        <v>110</v>
      </c>
      <c r="K425">
        <v>0</v>
      </c>
      <c r="L425" t="s">
        <v>5</v>
      </c>
      <c r="M425" t="s">
        <v>41</v>
      </c>
      <c r="N425" s="6">
        <f t="shared" ca="1" si="6"/>
        <v>43543</v>
      </c>
    </row>
    <row r="426" spans="1:14">
      <c r="A426" t="s">
        <v>464</v>
      </c>
      <c r="B426" t="s">
        <v>23</v>
      </c>
      <c r="C426" t="s">
        <v>10</v>
      </c>
      <c r="D426">
        <v>0</v>
      </c>
      <c r="E426" t="s">
        <v>7</v>
      </c>
      <c r="F426" t="s">
        <v>9</v>
      </c>
      <c r="G426">
        <v>14880</v>
      </c>
      <c r="H426">
        <v>0</v>
      </c>
      <c r="I426">
        <v>96</v>
      </c>
      <c r="J426">
        <v>360</v>
      </c>
      <c r="K426">
        <v>1</v>
      </c>
      <c r="L426" t="s">
        <v>4</v>
      </c>
      <c r="M426" t="s">
        <v>39</v>
      </c>
      <c r="N426" s="6">
        <f t="shared" ca="1" si="6"/>
        <v>43520</v>
      </c>
    </row>
    <row r="427" spans="1:14">
      <c r="A427" t="s">
        <v>465</v>
      </c>
      <c r="B427" t="s">
        <v>23</v>
      </c>
      <c r="C427" t="s">
        <v>10</v>
      </c>
      <c r="D427">
        <v>0</v>
      </c>
      <c r="E427" t="s">
        <v>7</v>
      </c>
      <c r="F427" t="s">
        <v>9</v>
      </c>
      <c r="G427">
        <v>2666</v>
      </c>
      <c r="H427">
        <v>4300</v>
      </c>
      <c r="I427">
        <v>121</v>
      </c>
      <c r="J427">
        <v>360</v>
      </c>
      <c r="K427">
        <v>1</v>
      </c>
      <c r="L427" t="s">
        <v>3</v>
      </c>
      <c r="M427" t="s">
        <v>39</v>
      </c>
      <c r="N427" s="6">
        <f t="shared" ca="1" si="6"/>
        <v>43634</v>
      </c>
    </row>
    <row r="428" spans="1:14">
      <c r="A428" t="s">
        <v>466</v>
      </c>
      <c r="B428" t="s">
        <v>8</v>
      </c>
      <c r="C428" t="s">
        <v>9</v>
      </c>
      <c r="D428">
        <v>1</v>
      </c>
      <c r="E428" t="s">
        <v>11</v>
      </c>
      <c r="F428" t="s">
        <v>9</v>
      </c>
      <c r="G428">
        <v>4606</v>
      </c>
      <c r="H428">
        <v>0</v>
      </c>
      <c r="I428">
        <v>81</v>
      </c>
      <c r="J428">
        <v>360</v>
      </c>
      <c r="K428">
        <v>1</v>
      </c>
      <c r="L428" t="s">
        <v>3</v>
      </c>
      <c r="M428" t="s">
        <v>41</v>
      </c>
      <c r="N428" s="6">
        <f t="shared" ca="1" si="6"/>
        <v>43682</v>
      </c>
    </row>
    <row r="429" spans="1:14">
      <c r="A429" t="s">
        <v>467</v>
      </c>
      <c r="B429" t="s">
        <v>23</v>
      </c>
      <c r="C429" t="s">
        <v>10</v>
      </c>
      <c r="D429">
        <v>2</v>
      </c>
      <c r="E429" t="s">
        <v>7</v>
      </c>
      <c r="F429" t="s">
        <v>9</v>
      </c>
      <c r="G429">
        <v>5935</v>
      </c>
      <c r="H429">
        <v>0</v>
      </c>
      <c r="I429">
        <v>133</v>
      </c>
      <c r="J429">
        <v>360</v>
      </c>
      <c r="K429">
        <v>1</v>
      </c>
      <c r="L429" t="s">
        <v>4</v>
      </c>
      <c r="M429" t="s">
        <v>39</v>
      </c>
      <c r="N429" s="6">
        <f t="shared" ca="1" si="6"/>
        <v>43606</v>
      </c>
    </row>
    <row r="430" spans="1:14">
      <c r="A430" t="s">
        <v>468</v>
      </c>
      <c r="B430" t="s">
        <v>23</v>
      </c>
      <c r="C430" t="s">
        <v>10</v>
      </c>
      <c r="D430">
        <v>0</v>
      </c>
      <c r="E430" t="s">
        <v>7</v>
      </c>
      <c r="F430" t="s">
        <v>9</v>
      </c>
      <c r="G430">
        <v>2920</v>
      </c>
      <c r="H430">
        <v>16</v>
      </c>
      <c r="I430">
        <v>87</v>
      </c>
      <c r="J430">
        <v>360</v>
      </c>
      <c r="K430">
        <v>1</v>
      </c>
      <c r="L430" t="s">
        <v>3</v>
      </c>
      <c r="M430" t="s">
        <v>39</v>
      </c>
      <c r="N430" s="6">
        <f t="shared" ca="1" si="6"/>
        <v>43496</v>
      </c>
    </row>
    <row r="431" spans="1:14">
      <c r="A431" t="s">
        <v>469</v>
      </c>
      <c r="B431" t="s">
        <v>23</v>
      </c>
      <c r="C431" t="s">
        <v>9</v>
      </c>
      <c r="D431">
        <v>0</v>
      </c>
      <c r="E431" t="s">
        <v>11</v>
      </c>
      <c r="F431" t="s">
        <v>9</v>
      </c>
      <c r="G431">
        <v>2717</v>
      </c>
      <c r="H431">
        <v>0</v>
      </c>
      <c r="I431">
        <v>60</v>
      </c>
      <c r="J431">
        <v>180</v>
      </c>
      <c r="K431">
        <v>1</v>
      </c>
      <c r="L431" t="s">
        <v>5</v>
      </c>
      <c r="M431" t="s">
        <v>39</v>
      </c>
      <c r="N431" s="6">
        <f t="shared" ca="1" si="6"/>
        <v>43472</v>
      </c>
    </row>
    <row r="432" spans="1:14">
      <c r="A432" t="s">
        <v>470</v>
      </c>
      <c r="B432" t="s">
        <v>8</v>
      </c>
      <c r="C432" t="s">
        <v>9</v>
      </c>
      <c r="D432">
        <v>1</v>
      </c>
      <c r="E432" t="s">
        <v>7</v>
      </c>
      <c r="F432" t="s">
        <v>10</v>
      </c>
      <c r="G432">
        <v>8624</v>
      </c>
      <c r="H432">
        <v>0</v>
      </c>
      <c r="I432">
        <v>150</v>
      </c>
      <c r="J432">
        <v>360</v>
      </c>
      <c r="K432">
        <v>1</v>
      </c>
      <c r="L432" t="s">
        <v>4</v>
      </c>
      <c r="M432" t="s">
        <v>39</v>
      </c>
      <c r="N432" s="6">
        <f t="shared" ca="1" si="6"/>
        <v>43755</v>
      </c>
    </row>
    <row r="433" spans="1:14">
      <c r="A433" t="s">
        <v>471</v>
      </c>
      <c r="B433" t="s">
        <v>23</v>
      </c>
      <c r="C433" t="s">
        <v>9</v>
      </c>
      <c r="D433">
        <v>0</v>
      </c>
      <c r="E433" t="s">
        <v>7</v>
      </c>
      <c r="F433" t="s">
        <v>9</v>
      </c>
      <c r="G433">
        <v>6500</v>
      </c>
      <c r="H433">
        <v>0</v>
      </c>
      <c r="I433">
        <v>105</v>
      </c>
      <c r="J433">
        <v>360</v>
      </c>
      <c r="K433">
        <v>0</v>
      </c>
      <c r="L433" t="s">
        <v>3</v>
      </c>
      <c r="M433" t="s">
        <v>41</v>
      </c>
      <c r="N433" s="6">
        <f t="shared" ca="1" si="6"/>
        <v>43749</v>
      </c>
    </row>
    <row r="434" spans="1:14">
      <c r="A434" t="s">
        <v>472</v>
      </c>
      <c r="B434" t="s">
        <v>23</v>
      </c>
      <c r="C434" t="s">
        <v>9</v>
      </c>
      <c r="D434">
        <v>0</v>
      </c>
      <c r="E434" t="s">
        <v>7</v>
      </c>
      <c r="F434" t="s">
        <v>20</v>
      </c>
      <c r="G434">
        <v>12876</v>
      </c>
      <c r="H434">
        <v>0</v>
      </c>
      <c r="I434">
        <v>405</v>
      </c>
      <c r="J434">
        <v>360</v>
      </c>
      <c r="K434">
        <v>1</v>
      </c>
      <c r="L434" t="s">
        <v>4</v>
      </c>
      <c r="M434" t="s">
        <v>39</v>
      </c>
      <c r="N434" s="6">
        <f t="shared" ca="1" si="6"/>
        <v>43671</v>
      </c>
    </row>
    <row r="435" spans="1:14">
      <c r="A435" t="s">
        <v>473</v>
      </c>
      <c r="B435" t="s">
        <v>23</v>
      </c>
      <c r="C435" t="s">
        <v>10</v>
      </c>
      <c r="D435">
        <v>0</v>
      </c>
      <c r="E435" t="s">
        <v>7</v>
      </c>
      <c r="F435" t="s">
        <v>9</v>
      </c>
      <c r="G435">
        <v>2425</v>
      </c>
      <c r="H435">
        <v>2340</v>
      </c>
      <c r="I435">
        <v>143</v>
      </c>
      <c r="J435">
        <v>360</v>
      </c>
      <c r="K435">
        <v>1</v>
      </c>
      <c r="L435" t="s">
        <v>4</v>
      </c>
      <c r="M435" t="s">
        <v>39</v>
      </c>
      <c r="N435" s="6">
        <f t="shared" ca="1" si="6"/>
        <v>43621</v>
      </c>
    </row>
    <row r="436" spans="1:14">
      <c r="A436" t="s">
        <v>474</v>
      </c>
      <c r="B436" t="s">
        <v>23</v>
      </c>
      <c r="C436" t="s">
        <v>9</v>
      </c>
      <c r="D436">
        <v>0</v>
      </c>
      <c r="E436" t="s">
        <v>7</v>
      </c>
      <c r="F436" t="s">
        <v>9</v>
      </c>
      <c r="G436">
        <v>3750</v>
      </c>
      <c r="H436">
        <v>0</v>
      </c>
      <c r="I436">
        <v>100</v>
      </c>
      <c r="J436">
        <v>360</v>
      </c>
      <c r="K436">
        <v>1</v>
      </c>
      <c r="L436" t="s">
        <v>5</v>
      </c>
      <c r="M436" t="s">
        <v>39</v>
      </c>
      <c r="N436" s="6">
        <f t="shared" ca="1" si="6"/>
        <v>43803</v>
      </c>
    </row>
    <row r="437" spans="1:14">
      <c r="A437" t="s">
        <v>475</v>
      </c>
      <c r="B437" t="s">
        <v>8</v>
      </c>
      <c r="C437" t="s">
        <v>20</v>
      </c>
      <c r="E437" t="s">
        <v>7</v>
      </c>
      <c r="F437" t="s">
        <v>9</v>
      </c>
      <c r="G437">
        <v>10047</v>
      </c>
      <c r="H437">
        <v>0</v>
      </c>
      <c r="I437">
        <v>20000</v>
      </c>
      <c r="J437">
        <v>240</v>
      </c>
      <c r="K437">
        <v>1</v>
      </c>
      <c r="L437" t="s">
        <v>4</v>
      </c>
      <c r="M437" t="s">
        <v>39</v>
      </c>
      <c r="N437" s="6">
        <f t="shared" ca="1" si="6"/>
        <v>43721</v>
      </c>
    </row>
    <row r="438" spans="1:14">
      <c r="A438" t="s">
        <v>476</v>
      </c>
      <c r="B438" t="s">
        <v>23</v>
      </c>
      <c r="C438" t="s">
        <v>9</v>
      </c>
      <c r="D438">
        <v>0</v>
      </c>
      <c r="E438" t="s">
        <v>7</v>
      </c>
      <c r="F438" t="s">
        <v>9</v>
      </c>
      <c r="G438">
        <v>1926</v>
      </c>
      <c r="H438">
        <v>1851</v>
      </c>
      <c r="I438">
        <v>50</v>
      </c>
      <c r="J438">
        <v>360</v>
      </c>
      <c r="K438">
        <v>1</v>
      </c>
      <c r="L438" t="s">
        <v>4</v>
      </c>
      <c r="M438" t="s">
        <v>39</v>
      </c>
      <c r="N438" s="6">
        <f t="shared" ca="1" si="6"/>
        <v>43573</v>
      </c>
    </row>
    <row r="439" spans="1:14">
      <c r="A439" t="s">
        <v>477</v>
      </c>
      <c r="B439" t="s">
        <v>23</v>
      </c>
      <c r="C439" t="s">
        <v>10</v>
      </c>
      <c r="D439">
        <v>0</v>
      </c>
      <c r="E439" t="s">
        <v>7</v>
      </c>
      <c r="F439" t="s">
        <v>9</v>
      </c>
      <c r="G439">
        <v>2213</v>
      </c>
      <c r="H439">
        <v>1125</v>
      </c>
      <c r="J439">
        <v>360</v>
      </c>
      <c r="K439">
        <v>1</v>
      </c>
      <c r="L439" t="s">
        <v>5</v>
      </c>
      <c r="M439" t="s">
        <v>39</v>
      </c>
      <c r="N439" s="6">
        <f t="shared" ca="1" si="6"/>
        <v>43523</v>
      </c>
    </row>
    <row r="440" spans="1:14">
      <c r="A440" t="s">
        <v>478</v>
      </c>
      <c r="B440" t="s">
        <v>23</v>
      </c>
      <c r="C440" t="s">
        <v>9</v>
      </c>
      <c r="D440">
        <v>0</v>
      </c>
      <c r="E440" t="s">
        <v>7</v>
      </c>
      <c r="F440" t="s">
        <v>10</v>
      </c>
      <c r="G440">
        <v>10416</v>
      </c>
      <c r="H440">
        <v>0</v>
      </c>
      <c r="I440">
        <v>187</v>
      </c>
      <c r="J440">
        <v>360</v>
      </c>
      <c r="K440">
        <v>0</v>
      </c>
      <c r="L440" t="s">
        <v>5</v>
      </c>
      <c r="M440" t="s">
        <v>41</v>
      </c>
      <c r="N440" s="6">
        <f t="shared" ca="1" si="6"/>
        <v>43591</v>
      </c>
    </row>
    <row r="441" spans="1:14">
      <c r="A441" t="s">
        <v>479</v>
      </c>
      <c r="B441" t="s">
        <v>8</v>
      </c>
      <c r="C441" t="s">
        <v>10</v>
      </c>
      <c r="D441">
        <v>0</v>
      </c>
      <c r="E441" t="s">
        <v>11</v>
      </c>
      <c r="F441" t="s">
        <v>10</v>
      </c>
      <c r="G441">
        <v>7142</v>
      </c>
      <c r="H441">
        <v>0</v>
      </c>
      <c r="I441">
        <v>138</v>
      </c>
      <c r="J441">
        <v>360</v>
      </c>
      <c r="K441">
        <v>1</v>
      </c>
      <c r="L441" t="s">
        <v>3</v>
      </c>
      <c r="M441" t="s">
        <v>39</v>
      </c>
      <c r="N441" s="6">
        <f t="shared" ca="1" si="6"/>
        <v>43529</v>
      </c>
    </row>
    <row r="442" spans="1:14">
      <c r="A442" t="s">
        <v>480</v>
      </c>
      <c r="B442" t="s">
        <v>23</v>
      </c>
      <c r="C442" t="s">
        <v>9</v>
      </c>
      <c r="D442">
        <v>0</v>
      </c>
      <c r="E442" t="s">
        <v>7</v>
      </c>
      <c r="F442" t="s">
        <v>9</v>
      </c>
      <c r="G442">
        <v>3660</v>
      </c>
      <c r="H442">
        <v>5064</v>
      </c>
      <c r="I442">
        <v>187</v>
      </c>
      <c r="J442">
        <v>360</v>
      </c>
      <c r="K442">
        <v>1</v>
      </c>
      <c r="L442" t="s">
        <v>4</v>
      </c>
      <c r="M442" t="s">
        <v>39</v>
      </c>
      <c r="N442" s="6">
        <f t="shared" ca="1" si="6"/>
        <v>43579</v>
      </c>
    </row>
    <row r="443" spans="1:14">
      <c r="A443" t="s">
        <v>481</v>
      </c>
      <c r="B443" t="s">
        <v>23</v>
      </c>
      <c r="C443" t="s">
        <v>10</v>
      </c>
      <c r="D443">
        <v>0</v>
      </c>
      <c r="E443" t="s">
        <v>7</v>
      </c>
      <c r="F443" t="s">
        <v>9</v>
      </c>
      <c r="G443">
        <v>7901</v>
      </c>
      <c r="H443">
        <v>1833</v>
      </c>
      <c r="I443">
        <v>180</v>
      </c>
      <c r="J443">
        <v>360</v>
      </c>
      <c r="K443">
        <v>1</v>
      </c>
      <c r="L443" t="s">
        <v>3</v>
      </c>
      <c r="M443" t="s">
        <v>39</v>
      </c>
      <c r="N443" s="6">
        <f t="shared" ca="1" si="6"/>
        <v>43751</v>
      </c>
    </row>
    <row r="444" spans="1:14">
      <c r="A444" t="s">
        <v>482</v>
      </c>
      <c r="B444" t="s">
        <v>23</v>
      </c>
      <c r="C444" t="s">
        <v>9</v>
      </c>
      <c r="D444">
        <v>3</v>
      </c>
      <c r="E444" t="s">
        <v>11</v>
      </c>
      <c r="F444" t="s">
        <v>9</v>
      </c>
      <c r="G444">
        <v>4707</v>
      </c>
      <c r="H444">
        <v>1993</v>
      </c>
      <c r="I444">
        <v>148</v>
      </c>
      <c r="J444">
        <v>360</v>
      </c>
      <c r="K444">
        <v>1</v>
      </c>
      <c r="L444" t="s">
        <v>4</v>
      </c>
      <c r="M444" t="s">
        <v>39</v>
      </c>
      <c r="N444" s="6">
        <f t="shared" ca="1" si="6"/>
        <v>43773</v>
      </c>
    </row>
    <row r="445" spans="1:14">
      <c r="A445" t="s">
        <v>483</v>
      </c>
      <c r="B445" t="s">
        <v>23</v>
      </c>
      <c r="C445" t="s">
        <v>9</v>
      </c>
      <c r="D445">
        <v>1</v>
      </c>
      <c r="E445" t="s">
        <v>7</v>
      </c>
      <c r="F445" t="s">
        <v>9</v>
      </c>
      <c r="G445">
        <v>37719</v>
      </c>
      <c r="H445">
        <v>0</v>
      </c>
      <c r="I445">
        <v>152</v>
      </c>
      <c r="J445">
        <v>360</v>
      </c>
      <c r="K445">
        <v>1</v>
      </c>
      <c r="L445" t="s">
        <v>4</v>
      </c>
      <c r="M445" t="s">
        <v>39</v>
      </c>
      <c r="N445" s="6">
        <f t="shared" ca="1" si="6"/>
        <v>43670</v>
      </c>
    </row>
    <row r="446" spans="1:14">
      <c r="A446" t="s">
        <v>484</v>
      </c>
      <c r="B446" t="s">
        <v>23</v>
      </c>
      <c r="C446" t="s">
        <v>10</v>
      </c>
      <c r="D446">
        <v>0</v>
      </c>
      <c r="E446" t="s">
        <v>7</v>
      </c>
      <c r="F446" t="s">
        <v>9</v>
      </c>
      <c r="G446">
        <v>7333</v>
      </c>
      <c r="H446">
        <v>8333</v>
      </c>
      <c r="I446">
        <v>175</v>
      </c>
      <c r="J446">
        <v>300</v>
      </c>
      <c r="L446" t="s">
        <v>3</v>
      </c>
      <c r="M446" t="s">
        <v>39</v>
      </c>
      <c r="N446" s="6">
        <f t="shared" ca="1" si="6"/>
        <v>43763</v>
      </c>
    </row>
    <row r="447" spans="1:14">
      <c r="A447" t="s">
        <v>485</v>
      </c>
      <c r="B447" t="s">
        <v>23</v>
      </c>
      <c r="C447" t="s">
        <v>10</v>
      </c>
      <c r="D447">
        <v>1</v>
      </c>
      <c r="E447" t="s">
        <v>7</v>
      </c>
      <c r="F447" t="s">
        <v>10</v>
      </c>
      <c r="G447">
        <v>3466</v>
      </c>
      <c r="H447">
        <v>1210</v>
      </c>
      <c r="I447">
        <v>130</v>
      </c>
      <c r="J447">
        <v>360</v>
      </c>
      <c r="K447">
        <v>1</v>
      </c>
      <c r="L447" t="s">
        <v>3</v>
      </c>
      <c r="M447" t="s">
        <v>39</v>
      </c>
      <c r="N447" s="6">
        <f t="shared" ca="1" si="6"/>
        <v>43510</v>
      </c>
    </row>
    <row r="448" spans="1:14">
      <c r="A448" t="s">
        <v>486</v>
      </c>
      <c r="B448" t="s">
        <v>23</v>
      </c>
      <c r="C448" t="s">
        <v>10</v>
      </c>
      <c r="D448">
        <v>2</v>
      </c>
      <c r="E448" t="s">
        <v>11</v>
      </c>
      <c r="F448" t="s">
        <v>9</v>
      </c>
      <c r="G448">
        <v>4652</v>
      </c>
      <c r="H448">
        <v>0</v>
      </c>
      <c r="I448">
        <v>110</v>
      </c>
      <c r="J448">
        <v>360</v>
      </c>
      <c r="K448">
        <v>1</v>
      </c>
      <c r="L448" t="s">
        <v>3</v>
      </c>
      <c r="M448" t="s">
        <v>39</v>
      </c>
      <c r="N448" s="6">
        <f t="shared" ca="1" si="6"/>
        <v>43547</v>
      </c>
    </row>
    <row r="449" spans="1:14">
      <c r="A449" t="s">
        <v>487</v>
      </c>
      <c r="B449" t="s">
        <v>23</v>
      </c>
      <c r="C449" t="s">
        <v>10</v>
      </c>
      <c r="D449">
        <v>0</v>
      </c>
      <c r="E449" t="s">
        <v>7</v>
      </c>
      <c r="F449" t="s">
        <v>20</v>
      </c>
      <c r="G449">
        <v>3539</v>
      </c>
      <c r="H449">
        <v>1376</v>
      </c>
      <c r="I449">
        <v>55</v>
      </c>
      <c r="J449">
        <v>360</v>
      </c>
      <c r="K449">
        <v>1</v>
      </c>
      <c r="L449" t="s">
        <v>3</v>
      </c>
      <c r="M449" t="s">
        <v>41</v>
      </c>
      <c r="N449" s="6">
        <f t="shared" ca="1" si="6"/>
        <v>43586</v>
      </c>
    </row>
    <row r="450" spans="1:14">
      <c r="A450" t="s">
        <v>488</v>
      </c>
      <c r="B450" t="s">
        <v>23</v>
      </c>
      <c r="C450" t="s">
        <v>10</v>
      </c>
      <c r="D450">
        <v>2</v>
      </c>
      <c r="E450" t="s">
        <v>7</v>
      </c>
      <c r="F450" t="s">
        <v>9</v>
      </c>
      <c r="G450">
        <v>3340</v>
      </c>
      <c r="H450">
        <v>1710</v>
      </c>
      <c r="I450">
        <v>150</v>
      </c>
      <c r="J450">
        <v>360</v>
      </c>
      <c r="K450">
        <v>0</v>
      </c>
      <c r="L450" t="s">
        <v>3</v>
      </c>
      <c r="M450" t="s">
        <v>41</v>
      </c>
      <c r="N450" s="6">
        <f t="shared" ref="N450:N513" ca="1" si="7">RANDBETWEEN(DATE(2019,1,1),DATE(2019,12,31))</f>
        <v>43605</v>
      </c>
    </row>
    <row r="451" spans="1:14">
      <c r="A451" t="s">
        <v>489</v>
      </c>
      <c r="B451" t="s">
        <v>23</v>
      </c>
      <c r="C451" t="s">
        <v>9</v>
      </c>
      <c r="D451">
        <v>1</v>
      </c>
      <c r="E451" t="s">
        <v>11</v>
      </c>
      <c r="F451" t="s">
        <v>10</v>
      </c>
      <c r="G451">
        <v>2769</v>
      </c>
      <c r="H451">
        <v>1542</v>
      </c>
      <c r="I451">
        <v>190</v>
      </c>
      <c r="J451">
        <v>360</v>
      </c>
      <c r="L451" t="s">
        <v>4</v>
      </c>
      <c r="M451" t="s">
        <v>41</v>
      </c>
      <c r="N451" s="6">
        <f t="shared" ca="1" si="7"/>
        <v>43544</v>
      </c>
    </row>
    <row r="452" spans="1:14">
      <c r="A452" t="s">
        <v>490</v>
      </c>
      <c r="B452" t="s">
        <v>23</v>
      </c>
      <c r="C452" t="s">
        <v>10</v>
      </c>
      <c r="D452">
        <v>2</v>
      </c>
      <c r="E452" t="s">
        <v>11</v>
      </c>
      <c r="F452" t="s">
        <v>9</v>
      </c>
      <c r="G452">
        <v>2309</v>
      </c>
      <c r="H452">
        <v>1255</v>
      </c>
      <c r="I452">
        <v>125</v>
      </c>
      <c r="J452">
        <v>360</v>
      </c>
      <c r="K452">
        <v>0</v>
      </c>
      <c r="L452" t="s">
        <v>3</v>
      </c>
      <c r="M452" t="s">
        <v>41</v>
      </c>
      <c r="N452" s="6">
        <f t="shared" ca="1" si="7"/>
        <v>43758</v>
      </c>
    </row>
    <row r="453" spans="1:14">
      <c r="A453" t="s">
        <v>491</v>
      </c>
      <c r="B453" t="s">
        <v>23</v>
      </c>
      <c r="C453" t="s">
        <v>10</v>
      </c>
      <c r="D453">
        <v>2</v>
      </c>
      <c r="E453" t="s">
        <v>11</v>
      </c>
      <c r="F453" t="s">
        <v>9</v>
      </c>
      <c r="G453">
        <v>1958</v>
      </c>
      <c r="H453">
        <v>1456</v>
      </c>
      <c r="I453">
        <v>60</v>
      </c>
      <c r="J453">
        <v>300</v>
      </c>
      <c r="L453" t="s">
        <v>5</v>
      </c>
      <c r="M453" t="s">
        <v>39</v>
      </c>
      <c r="N453" s="6">
        <f t="shared" ca="1" si="7"/>
        <v>43788</v>
      </c>
    </row>
    <row r="454" spans="1:14">
      <c r="A454" t="s">
        <v>492</v>
      </c>
      <c r="B454" t="s">
        <v>23</v>
      </c>
      <c r="C454" t="s">
        <v>10</v>
      </c>
      <c r="D454">
        <v>0</v>
      </c>
      <c r="E454" t="s">
        <v>7</v>
      </c>
      <c r="F454" t="s">
        <v>9</v>
      </c>
      <c r="G454">
        <v>3948</v>
      </c>
      <c r="H454">
        <v>1733</v>
      </c>
      <c r="I454">
        <v>149</v>
      </c>
      <c r="J454">
        <v>360</v>
      </c>
      <c r="K454">
        <v>0</v>
      </c>
      <c r="L454" t="s">
        <v>3</v>
      </c>
      <c r="M454" t="s">
        <v>41</v>
      </c>
      <c r="N454" s="6">
        <f t="shared" ca="1" si="7"/>
        <v>43593</v>
      </c>
    </row>
    <row r="455" spans="1:14">
      <c r="A455" t="s">
        <v>493</v>
      </c>
      <c r="B455" t="s">
        <v>23</v>
      </c>
      <c r="C455" t="s">
        <v>10</v>
      </c>
      <c r="D455">
        <v>0</v>
      </c>
      <c r="E455" t="s">
        <v>7</v>
      </c>
      <c r="F455" t="s">
        <v>9</v>
      </c>
      <c r="G455">
        <v>2483</v>
      </c>
      <c r="H455">
        <v>2466</v>
      </c>
      <c r="I455">
        <v>90</v>
      </c>
      <c r="J455">
        <v>180</v>
      </c>
      <c r="K455">
        <v>0</v>
      </c>
      <c r="L455" t="s">
        <v>3</v>
      </c>
      <c r="M455" t="s">
        <v>39</v>
      </c>
      <c r="N455" s="6">
        <f t="shared" ca="1" si="7"/>
        <v>43655</v>
      </c>
    </row>
    <row r="456" spans="1:14">
      <c r="A456" t="s">
        <v>494</v>
      </c>
      <c r="B456" t="s">
        <v>23</v>
      </c>
      <c r="C456" t="s">
        <v>9</v>
      </c>
      <c r="D456">
        <v>0</v>
      </c>
      <c r="E456" t="s">
        <v>7</v>
      </c>
      <c r="F456" t="s">
        <v>10</v>
      </c>
      <c r="G456">
        <v>7085</v>
      </c>
      <c r="H456">
        <v>0</v>
      </c>
      <c r="I456">
        <v>84</v>
      </c>
      <c r="J456">
        <v>360</v>
      </c>
      <c r="K456">
        <v>1</v>
      </c>
      <c r="L456" t="s">
        <v>4</v>
      </c>
      <c r="M456" t="s">
        <v>39</v>
      </c>
      <c r="N456" s="6">
        <f t="shared" ca="1" si="7"/>
        <v>43798</v>
      </c>
    </row>
    <row r="457" spans="1:14">
      <c r="A457" t="s">
        <v>495</v>
      </c>
      <c r="B457" t="s">
        <v>23</v>
      </c>
      <c r="C457" t="s">
        <v>10</v>
      </c>
      <c r="D457">
        <v>2</v>
      </c>
      <c r="E457" t="s">
        <v>7</v>
      </c>
      <c r="F457" t="s">
        <v>9</v>
      </c>
      <c r="G457">
        <v>3859</v>
      </c>
      <c r="H457">
        <v>0</v>
      </c>
      <c r="I457">
        <v>96</v>
      </c>
      <c r="J457">
        <v>360</v>
      </c>
      <c r="K457">
        <v>1</v>
      </c>
      <c r="L457" t="s">
        <v>4</v>
      </c>
      <c r="M457" t="s">
        <v>39</v>
      </c>
      <c r="N457" s="6">
        <f t="shared" ca="1" si="7"/>
        <v>43819</v>
      </c>
    </row>
    <row r="458" spans="1:14">
      <c r="A458" t="s">
        <v>496</v>
      </c>
      <c r="B458" t="s">
        <v>23</v>
      </c>
      <c r="C458" t="s">
        <v>10</v>
      </c>
      <c r="D458">
        <v>0</v>
      </c>
      <c r="E458" t="s">
        <v>7</v>
      </c>
      <c r="F458" t="s">
        <v>9</v>
      </c>
      <c r="G458">
        <v>4301</v>
      </c>
      <c r="H458">
        <v>0</v>
      </c>
      <c r="I458">
        <v>118</v>
      </c>
      <c r="J458">
        <v>360</v>
      </c>
      <c r="K458">
        <v>1</v>
      </c>
      <c r="L458" t="s">
        <v>5</v>
      </c>
      <c r="M458" t="s">
        <v>39</v>
      </c>
      <c r="N458" s="6">
        <f t="shared" ca="1" si="7"/>
        <v>43618</v>
      </c>
    </row>
    <row r="459" spans="1:14">
      <c r="A459" t="s">
        <v>497</v>
      </c>
      <c r="B459" t="s">
        <v>23</v>
      </c>
      <c r="C459" t="s">
        <v>10</v>
      </c>
      <c r="D459">
        <v>0</v>
      </c>
      <c r="E459" t="s">
        <v>7</v>
      </c>
      <c r="F459" t="s">
        <v>9</v>
      </c>
      <c r="G459">
        <v>3708</v>
      </c>
      <c r="H459">
        <v>2569</v>
      </c>
      <c r="I459">
        <v>173</v>
      </c>
      <c r="J459">
        <v>360</v>
      </c>
      <c r="K459">
        <v>1</v>
      </c>
      <c r="L459" t="s">
        <v>5</v>
      </c>
      <c r="M459" t="s">
        <v>41</v>
      </c>
      <c r="N459" s="6">
        <f t="shared" ca="1" si="7"/>
        <v>43807</v>
      </c>
    </row>
    <row r="460" spans="1:14">
      <c r="A460" t="s">
        <v>498</v>
      </c>
      <c r="B460" t="s">
        <v>23</v>
      </c>
      <c r="C460" t="s">
        <v>9</v>
      </c>
      <c r="D460">
        <v>2</v>
      </c>
      <c r="E460" t="s">
        <v>7</v>
      </c>
      <c r="F460" t="s">
        <v>9</v>
      </c>
      <c r="G460">
        <v>4354</v>
      </c>
      <c r="H460">
        <v>0</v>
      </c>
      <c r="I460">
        <v>136</v>
      </c>
      <c r="J460">
        <v>360</v>
      </c>
      <c r="K460">
        <v>1</v>
      </c>
      <c r="L460" t="s">
        <v>3</v>
      </c>
      <c r="M460" t="s">
        <v>39</v>
      </c>
      <c r="N460" s="6">
        <f t="shared" ca="1" si="7"/>
        <v>43503</v>
      </c>
    </row>
    <row r="461" spans="1:14">
      <c r="A461" t="s">
        <v>499</v>
      </c>
      <c r="B461" t="s">
        <v>23</v>
      </c>
      <c r="C461" t="s">
        <v>10</v>
      </c>
      <c r="D461">
        <v>0</v>
      </c>
      <c r="E461" t="s">
        <v>7</v>
      </c>
      <c r="F461" t="s">
        <v>9</v>
      </c>
      <c r="G461">
        <v>8334</v>
      </c>
      <c r="H461">
        <v>0</v>
      </c>
      <c r="I461">
        <v>160</v>
      </c>
      <c r="J461">
        <v>360</v>
      </c>
      <c r="K461">
        <v>1</v>
      </c>
      <c r="L461" t="s">
        <v>4</v>
      </c>
      <c r="M461" t="s">
        <v>41</v>
      </c>
      <c r="N461" s="6">
        <f t="shared" ca="1" si="7"/>
        <v>43685</v>
      </c>
    </row>
    <row r="462" spans="1:14">
      <c r="A462" t="s">
        <v>500</v>
      </c>
      <c r="B462" t="s">
        <v>20</v>
      </c>
      <c r="C462" t="s">
        <v>10</v>
      </c>
      <c r="D462">
        <v>0</v>
      </c>
      <c r="E462" t="s">
        <v>7</v>
      </c>
      <c r="F462" t="s">
        <v>10</v>
      </c>
      <c r="G462">
        <v>2083</v>
      </c>
      <c r="H462">
        <v>4083</v>
      </c>
      <c r="I462">
        <v>160</v>
      </c>
      <c r="J462">
        <v>360</v>
      </c>
      <c r="L462" t="s">
        <v>4</v>
      </c>
      <c r="M462" t="s">
        <v>39</v>
      </c>
      <c r="N462" s="6">
        <f t="shared" ca="1" si="7"/>
        <v>43524</v>
      </c>
    </row>
    <row r="463" spans="1:14">
      <c r="A463" t="s">
        <v>501</v>
      </c>
      <c r="B463" t="s">
        <v>23</v>
      </c>
      <c r="C463" t="s">
        <v>10</v>
      </c>
      <c r="D463">
        <v>3</v>
      </c>
      <c r="E463" t="s">
        <v>7</v>
      </c>
      <c r="F463" t="s">
        <v>9</v>
      </c>
      <c r="G463">
        <v>7740</v>
      </c>
      <c r="H463">
        <v>0</v>
      </c>
      <c r="I463">
        <v>128</v>
      </c>
      <c r="J463">
        <v>180</v>
      </c>
      <c r="K463">
        <v>1</v>
      </c>
      <c r="L463" t="s">
        <v>5</v>
      </c>
      <c r="M463" t="s">
        <v>39</v>
      </c>
      <c r="N463" s="6">
        <f t="shared" ca="1" si="7"/>
        <v>43499</v>
      </c>
    </row>
    <row r="464" spans="1:14">
      <c r="A464" t="s">
        <v>502</v>
      </c>
      <c r="B464" t="s">
        <v>23</v>
      </c>
      <c r="C464" t="s">
        <v>10</v>
      </c>
      <c r="D464">
        <v>0</v>
      </c>
      <c r="E464" t="s">
        <v>7</v>
      </c>
      <c r="F464" t="s">
        <v>9</v>
      </c>
      <c r="G464">
        <v>3015</v>
      </c>
      <c r="H464">
        <v>2188</v>
      </c>
      <c r="I464">
        <v>153</v>
      </c>
      <c r="J464">
        <v>360</v>
      </c>
      <c r="K464">
        <v>1</v>
      </c>
      <c r="L464" t="s">
        <v>3</v>
      </c>
      <c r="M464" t="s">
        <v>39</v>
      </c>
      <c r="N464" s="6">
        <f t="shared" ca="1" si="7"/>
        <v>43787</v>
      </c>
    </row>
    <row r="465" spans="1:14">
      <c r="A465" t="s">
        <v>503</v>
      </c>
      <c r="B465" t="s">
        <v>8</v>
      </c>
      <c r="C465" t="s">
        <v>9</v>
      </c>
      <c r="D465">
        <v>1</v>
      </c>
      <c r="E465" t="s">
        <v>11</v>
      </c>
      <c r="F465" t="s">
        <v>20</v>
      </c>
      <c r="G465">
        <v>5191</v>
      </c>
      <c r="H465">
        <v>0</v>
      </c>
      <c r="I465">
        <v>132</v>
      </c>
      <c r="J465">
        <v>360</v>
      </c>
      <c r="K465">
        <v>1</v>
      </c>
      <c r="L465" t="s">
        <v>4</v>
      </c>
      <c r="M465" t="s">
        <v>39</v>
      </c>
      <c r="N465" s="6">
        <f t="shared" ca="1" si="7"/>
        <v>43564</v>
      </c>
    </row>
    <row r="466" spans="1:14">
      <c r="A466" t="s">
        <v>504</v>
      </c>
      <c r="B466" t="s">
        <v>23</v>
      </c>
      <c r="C466" t="s">
        <v>9</v>
      </c>
      <c r="D466">
        <v>0</v>
      </c>
      <c r="E466" t="s">
        <v>7</v>
      </c>
      <c r="F466" t="s">
        <v>9</v>
      </c>
      <c r="G466">
        <v>4166</v>
      </c>
      <c r="H466">
        <v>0</v>
      </c>
      <c r="I466">
        <v>98</v>
      </c>
      <c r="J466">
        <v>360</v>
      </c>
      <c r="K466">
        <v>0</v>
      </c>
      <c r="L466" t="s">
        <v>4</v>
      </c>
      <c r="M466" t="s">
        <v>41</v>
      </c>
      <c r="N466" s="6">
        <f t="shared" ca="1" si="7"/>
        <v>43511</v>
      </c>
    </row>
    <row r="467" spans="1:14">
      <c r="A467" t="s">
        <v>505</v>
      </c>
      <c r="B467" t="s">
        <v>23</v>
      </c>
      <c r="C467" t="s">
        <v>9</v>
      </c>
      <c r="D467">
        <v>0</v>
      </c>
      <c r="E467" t="s">
        <v>7</v>
      </c>
      <c r="F467" t="s">
        <v>9</v>
      </c>
      <c r="G467">
        <v>6000</v>
      </c>
      <c r="H467">
        <v>0</v>
      </c>
      <c r="I467">
        <v>140</v>
      </c>
      <c r="J467">
        <v>360</v>
      </c>
      <c r="K467">
        <v>1</v>
      </c>
      <c r="L467" t="s">
        <v>3</v>
      </c>
      <c r="M467" t="s">
        <v>39</v>
      </c>
      <c r="N467" s="6">
        <f t="shared" ca="1" si="7"/>
        <v>43486</v>
      </c>
    </row>
    <row r="468" spans="1:14">
      <c r="A468" t="s">
        <v>506</v>
      </c>
      <c r="B468" t="s">
        <v>23</v>
      </c>
      <c r="C468" t="s">
        <v>10</v>
      </c>
      <c r="D468">
        <v>3</v>
      </c>
      <c r="E468" t="s">
        <v>11</v>
      </c>
      <c r="F468" t="s">
        <v>9</v>
      </c>
      <c r="G468">
        <v>2947</v>
      </c>
      <c r="H468">
        <v>1664</v>
      </c>
      <c r="I468">
        <v>70</v>
      </c>
      <c r="J468">
        <v>180</v>
      </c>
      <c r="K468">
        <v>0</v>
      </c>
      <c r="L468" t="s">
        <v>5</v>
      </c>
      <c r="M468" t="s">
        <v>41</v>
      </c>
      <c r="N468" s="6">
        <f t="shared" ca="1" si="7"/>
        <v>43727</v>
      </c>
    </row>
    <row r="469" spans="1:14">
      <c r="A469" t="s">
        <v>507</v>
      </c>
      <c r="B469" t="s">
        <v>20</v>
      </c>
      <c r="C469" t="s">
        <v>10</v>
      </c>
      <c r="D469">
        <v>0</v>
      </c>
      <c r="E469" t="s">
        <v>7</v>
      </c>
      <c r="F469" t="s">
        <v>9</v>
      </c>
      <c r="G469">
        <v>16692</v>
      </c>
      <c r="H469">
        <v>0</v>
      </c>
      <c r="I469">
        <v>110</v>
      </c>
      <c r="J469">
        <v>360</v>
      </c>
      <c r="K469">
        <v>1</v>
      </c>
      <c r="L469" t="s">
        <v>4</v>
      </c>
      <c r="M469" t="s">
        <v>39</v>
      </c>
      <c r="N469" s="6">
        <f t="shared" ca="1" si="7"/>
        <v>43821</v>
      </c>
    </row>
    <row r="470" spans="1:14">
      <c r="A470" t="s">
        <v>508</v>
      </c>
      <c r="B470" t="s">
        <v>8</v>
      </c>
      <c r="C470" t="s">
        <v>10</v>
      </c>
      <c r="D470">
        <v>2</v>
      </c>
      <c r="E470" t="s">
        <v>11</v>
      </c>
      <c r="F470" t="s">
        <v>20</v>
      </c>
      <c r="G470">
        <v>210</v>
      </c>
      <c r="H470">
        <v>2917</v>
      </c>
      <c r="I470">
        <v>98</v>
      </c>
      <c r="J470">
        <v>360</v>
      </c>
      <c r="K470">
        <v>1</v>
      </c>
      <c r="L470" t="s">
        <v>4</v>
      </c>
      <c r="M470" t="s">
        <v>39</v>
      </c>
      <c r="N470" s="6">
        <f t="shared" ca="1" si="7"/>
        <v>43708</v>
      </c>
    </row>
    <row r="471" spans="1:14">
      <c r="A471" t="s">
        <v>509</v>
      </c>
      <c r="B471" t="s">
        <v>23</v>
      </c>
      <c r="C471" t="s">
        <v>10</v>
      </c>
      <c r="D471">
        <v>0</v>
      </c>
      <c r="E471" t="s">
        <v>7</v>
      </c>
      <c r="F471" t="s">
        <v>9</v>
      </c>
      <c r="G471">
        <v>4333</v>
      </c>
      <c r="H471">
        <v>2451</v>
      </c>
      <c r="I471">
        <v>110</v>
      </c>
      <c r="J471">
        <v>360</v>
      </c>
      <c r="K471">
        <v>1</v>
      </c>
      <c r="L471" t="s">
        <v>5</v>
      </c>
      <c r="M471" t="s">
        <v>41</v>
      </c>
      <c r="N471" s="6">
        <f t="shared" ca="1" si="7"/>
        <v>43674</v>
      </c>
    </row>
    <row r="472" spans="1:14">
      <c r="A472" t="s">
        <v>510</v>
      </c>
      <c r="B472" t="s">
        <v>23</v>
      </c>
      <c r="C472" t="s">
        <v>10</v>
      </c>
      <c r="D472">
        <v>1</v>
      </c>
      <c r="E472" t="s">
        <v>7</v>
      </c>
      <c r="F472" t="s">
        <v>10</v>
      </c>
      <c r="G472">
        <v>3450</v>
      </c>
      <c r="H472">
        <v>2079</v>
      </c>
      <c r="I472">
        <v>162</v>
      </c>
      <c r="J472">
        <v>360</v>
      </c>
      <c r="K472">
        <v>1</v>
      </c>
      <c r="L472" t="s">
        <v>4</v>
      </c>
      <c r="M472" t="s">
        <v>39</v>
      </c>
      <c r="N472" s="6">
        <f t="shared" ca="1" si="7"/>
        <v>43731</v>
      </c>
    </row>
    <row r="473" spans="1:14">
      <c r="A473" t="s">
        <v>511</v>
      </c>
      <c r="B473" t="s">
        <v>23</v>
      </c>
      <c r="C473" t="s">
        <v>10</v>
      </c>
      <c r="D473">
        <v>1</v>
      </c>
      <c r="E473" t="s">
        <v>11</v>
      </c>
      <c r="F473" t="s">
        <v>9</v>
      </c>
      <c r="G473">
        <v>2653</v>
      </c>
      <c r="H473">
        <v>1500</v>
      </c>
      <c r="I473">
        <v>113</v>
      </c>
      <c r="J473">
        <v>180</v>
      </c>
      <c r="K473">
        <v>0</v>
      </c>
      <c r="L473" t="s">
        <v>3</v>
      </c>
      <c r="M473" t="s">
        <v>41</v>
      </c>
      <c r="N473" s="6">
        <f t="shared" ca="1" si="7"/>
        <v>43679</v>
      </c>
    </row>
    <row r="474" spans="1:14">
      <c r="A474" t="s">
        <v>512</v>
      </c>
      <c r="B474" t="s">
        <v>23</v>
      </c>
      <c r="C474" t="s">
        <v>10</v>
      </c>
      <c r="D474">
        <v>3</v>
      </c>
      <c r="E474" t="s">
        <v>7</v>
      </c>
      <c r="F474" t="s">
        <v>9</v>
      </c>
      <c r="G474">
        <v>4691</v>
      </c>
      <c r="H474">
        <v>0</v>
      </c>
      <c r="I474">
        <v>100</v>
      </c>
      <c r="J474">
        <v>360</v>
      </c>
      <c r="K474">
        <v>1</v>
      </c>
      <c r="L474" t="s">
        <v>4</v>
      </c>
      <c r="M474" t="s">
        <v>39</v>
      </c>
      <c r="N474" s="6">
        <f t="shared" ca="1" si="7"/>
        <v>43690</v>
      </c>
    </row>
    <row r="475" spans="1:14">
      <c r="A475" t="s">
        <v>513</v>
      </c>
      <c r="B475" t="s">
        <v>8</v>
      </c>
      <c r="C475" t="s">
        <v>9</v>
      </c>
      <c r="D475">
        <v>0</v>
      </c>
      <c r="E475" t="s">
        <v>7</v>
      </c>
      <c r="F475" t="s">
        <v>10</v>
      </c>
      <c r="G475">
        <v>2500</v>
      </c>
      <c r="H475">
        <v>0</v>
      </c>
      <c r="I475">
        <v>93</v>
      </c>
      <c r="J475">
        <v>360</v>
      </c>
      <c r="L475" t="s">
        <v>5</v>
      </c>
      <c r="M475" t="s">
        <v>39</v>
      </c>
      <c r="N475" s="6">
        <f t="shared" ca="1" si="7"/>
        <v>43623</v>
      </c>
    </row>
    <row r="476" spans="1:14">
      <c r="A476" t="s">
        <v>514</v>
      </c>
      <c r="B476" t="s">
        <v>23</v>
      </c>
      <c r="C476" t="s">
        <v>9</v>
      </c>
      <c r="D476">
        <v>2</v>
      </c>
      <c r="E476" t="s">
        <v>7</v>
      </c>
      <c r="F476" t="s">
        <v>9</v>
      </c>
      <c r="G476">
        <v>5532</v>
      </c>
      <c r="H476">
        <v>4648</v>
      </c>
      <c r="I476">
        <v>162</v>
      </c>
      <c r="J476">
        <v>360</v>
      </c>
      <c r="K476">
        <v>1</v>
      </c>
      <c r="L476" t="s">
        <v>3</v>
      </c>
      <c r="M476" t="s">
        <v>39</v>
      </c>
      <c r="N476" s="6">
        <f t="shared" ca="1" si="7"/>
        <v>43505</v>
      </c>
    </row>
    <row r="477" spans="1:14">
      <c r="A477" t="s">
        <v>515</v>
      </c>
      <c r="B477" t="s">
        <v>23</v>
      </c>
      <c r="C477" t="s">
        <v>10</v>
      </c>
      <c r="D477">
        <v>2</v>
      </c>
      <c r="E477" t="s">
        <v>7</v>
      </c>
      <c r="F477" t="s">
        <v>10</v>
      </c>
      <c r="G477">
        <v>16525</v>
      </c>
      <c r="H477">
        <v>1014</v>
      </c>
      <c r="I477">
        <v>150</v>
      </c>
      <c r="J477">
        <v>360</v>
      </c>
      <c r="K477">
        <v>1</v>
      </c>
      <c r="L477" t="s">
        <v>3</v>
      </c>
      <c r="M477" t="s">
        <v>39</v>
      </c>
      <c r="N477" s="6">
        <f t="shared" ca="1" si="7"/>
        <v>43824</v>
      </c>
    </row>
    <row r="478" spans="1:14">
      <c r="A478" t="s">
        <v>516</v>
      </c>
      <c r="B478" t="s">
        <v>23</v>
      </c>
      <c r="C478" t="s">
        <v>10</v>
      </c>
      <c r="D478">
        <v>2</v>
      </c>
      <c r="E478" t="s">
        <v>7</v>
      </c>
      <c r="F478" t="s">
        <v>9</v>
      </c>
      <c r="G478">
        <v>6700</v>
      </c>
      <c r="H478">
        <v>1750</v>
      </c>
      <c r="I478">
        <v>230</v>
      </c>
      <c r="J478">
        <v>300</v>
      </c>
      <c r="K478">
        <v>1</v>
      </c>
      <c r="L478" t="s">
        <v>4</v>
      </c>
      <c r="M478" t="s">
        <v>39</v>
      </c>
      <c r="N478" s="6">
        <f t="shared" ca="1" si="7"/>
        <v>43772</v>
      </c>
    </row>
    <row r="479" spans="1:14">
      <c r="A479" t="s">
        <v>517</v>
      </c>
      <c r="B479" t="s">
        <v>20</v>
      </c>
      <c r="C479" t="s">
        <v>10</v>
      </c>
      <c r="D479">
        <v>2</v>
      </c>
      <c r="E479" t="s">
        <v>7</v>
      </c>
      <c r="F479" t="s">
        <v>9</v>
      </c>
      <c r="G479">
        <v>2873</v>
      </c>
      <c r="H479">
        <v>1872</v>
      </c>
      <c r="I479">
        <v>132</v>
      </c>
      <c r="J479">
        <v>360</v>
      </c>
      <c r="K479">
        <v>0</v>
      </c>
      <c r="L479" t="s">
        <v>4</v>
      </c>
      <c r="M479" t="s">
        <v>41</v>
      </c>
      <c r="N479" s="6">
        <f t="shared" ca="1" si="7"/>
        <v>43735</v>
      </c>
    </row>
    <row r="480" spans="1:14">
      <c r="A480" t="s">
        <v>518</v>
      </c>
      <c r="B480" t="s">
        <v>23</v>
      </c>
      <c r="C480" t="s">
        <v>10</v>
      </c>
      <c r="D480">
        <v>1</v>
      </c>
      <c r="E480" t="s">
        <v>7</v>
      </c>
      <c r="F480" t="s">
        <v>10</v>
      </c>
      <c r="G480">
        <v>16667</v>
      </c>
      <c r="H480">
        <v>2250</v>
      </c>
      <c r="I480">
        <v>86</v>
      </c>
      <c r="J480">
        <v>360</v>
      </c>
      <c r="K480">
        <v>1</v>
      </c>
      <c r="L480" t="s">
        <v>4</v>
      </c>
      <c r="M480" t="s">
        <v>39</v>
      </c>
      <c r="N480" s="6">
        <f t="shared" ca="1" si="7"/>
        <v>43603</v>
      </c>
    </row>
    <row r="481" spans="1:14">
      <c r="A481" t="s">
        <v>519</v>
      </c>
      <c r="B481" t="s">
        <v>23</v>
      </c>
      <c r="C481" t="s">
        <v>10</v>
      </c>
      <c r="D481">
        <v>2</v>
      </c>
      <c r="E481" t="s">
        <v>7</v>
      </c>
      <c r="F481" t="s">
        <v>9</v>
      </c>
      <c r="G481">
        <v>2947</v>
      </c>
      <c r="H481">
        <v>1603</v>
      </c>
      <c r="J481">
        <v>360</v>
      </c>
      <c r="K481">
        <v>1</v>
      </c>
      <c r="L481" t="s">
        <v>5</v>
      </c>
      <c r="M481" t="s">
        <v>41</v>
      </c>
      <c r="N481" s="6">
        <f t="shared" ca="1" si="7"/>
        <v>43676</v>
      </c>
    </row>
    <row r="482" spans="1:14">
      <c r="A482" t="s">
        <v>520</v>
      </c>
      <c r="B482" t="s">
        <v>8</v>
      </c>
      <c r="C482" t="s">
        <v>9</v>
      </c>
      <c r="D482">
        <v>0</v>
      </c>
      <c r="E482" t="s">
        <v>11</v>
      </c>
      <c r="F482" t="s">
        <v>9</v>
      </c>
      <c r="G482">
        <v>4350</v>
      </c>
      <c r="H482">
        <v>0</v>
      </c>
      <c r="I482">
        <v>154</v>
      </c>
      <c r="J482">
        <v>360</v>
      </c>
      <c r="K482">
        <v>1</v>
      </c>
      <c r="L482" t="s">
        <v>3</v>
      </c>
      <c r="M482" t="s">
        <v>39</v>
      </c>
      <c r="N482" s="6">
        <f t="shared" ca="1" si="7"/>
        <v>43707</v>
      </c>
    </row>
    <row r="483" spans="1:14">
      <c r="A483" t="s">
        <v>521</v>
      </c>
      <c r="B483" t="s">
        <v>23</v>
      </c>
      <c r="C483" t="s">
        <v>10</v>
      </c>
      <c r="D483">
        <v>3</v>
      </c>
      <c r="E483" t="s">
        <v>11</v>
      </c>
      <c r="F483" t="s">
        <v>9</v>
      </c>
      <c r="G483">
        <v>3095</v>
      </c>
      <c r="H483">
        <v>0</v>
      </c>
      <c r="I483">
        <v>113</v>
      </c>
      <c r="J483">
        <v>360</v>
      </c>
      <c r="K483">
        <v>1</v>
      </c>
      <c r="L483" t="s">
        <v>3</v>
      </c>
      <c r="M483" t="s">
        <v>39</v>
      </c>
      <c r="N483" s="6">
        <f t="shared" ca="1" si="7"/>
        <v>43765</v>
      </c>
    </row>
    <row r="484" spans="1:14">
      <c r="A484" t="s">
        <v>522</v>
      </c>
      <c r="B484" t="s">
        <v>23</v>
      </c>
      <c r="C484" t="s">
        <v>10</v>
      </c>
      <c r="D484">
        <v>0</v>
      </c>
      <c r="E484" t="s">
        <v>7</v>
      </c>
      <c r="F484" t="s">
        <v>9</v>
      </c>
      <c r="G484">
        <v>2083</v>
      </c>
      <c r="H484">
        <v>3150</v>
      </c>
      <c r="I484">
        <v>128</v>
      </c>
      <c r="J484">
        <v>360</v>
      </c>
      <c r="K484">
        <v>1</v>
      </c>
      <c r="L484" t="s">
        <v>4</v>
      </c>
      <c r="M484" t="s">
        <v>39</v>
      </c>
      <c r="N484" s="6">
        <f t="shared" ca="1" si="7"/>
        <v>43513</v>
      </c>
    </row>
    <row r="485" spans="1:14">
      <c r="A485" t="s">
        <v>523</v>
      </c>
      <c r="B485" t="s">
        <v>23</v>
      </c>
      <c r="C485" t="s">
        <v>10</v>
      </c>
      <c r="D485">
        <v>0</v>
      </c>
      <c r="E485" t="s">
        <v>7</v>
      </c>
      <c r="F485" t="s">
        <v>9</v>
      </c>
      <c r="G485">
        <v>10833</v>
      </c>
      <c r="H485">
        <v>0</v>
      </c>
      <c r="I485">
        <v>234</v>
      </c>
      <c r="J485">
        <v>360</v>
      </c>
      <c r="K485">
        <v>1</v>
      </c>
      <c r="L485" t="s">
        <v>4</v>
      </c>
      <c r="M485" t="s">
        <v>39</v>
      </c>
      <c r="N485" s="6">
        <f t="shared" ca="1" si="7"/>
        <v>43781</v>
      </c>
    </row>
    <row r="486" spans="1:14">
      <c r="A486" t="s">
        <v>524</v>
      </c>
      <c r="B486" t="s">
        <v>23</v>
      </c>
      <c r="C486" t="s">
        <v>10</v>
      </c>
      <c r="D486">
        <v>2</v>
      </c>
      <c r="E486" t="s">
        <v>7</v>
      </c>
      <c r="F486" t="s">
        <v>9</v>
      </c>
      <c r="G486">
        <v>8333</v>
      </c>
      <c r="H486">
        <v>0</v>
      </c>
      <c r="I486">
        <v>246</v>
      </c>
      <c r="J486">
        <v>360</v>
      </c>
      <c r="K486">
        <v>1</v>
      </c>
      <c r="L486" t="s">
        <v>4</v>
      </c>
      <c r="M486" t="s">
        <v>39</v>
      </c>
      <c r="N486" s="6">
        <f t="shared" ca="1" si="7"/>
        <v>43516</v>
      </c>
    </row>
    <row r="487" spans="1:14">
      <c r="A487" t="s">
        <v>525</v>
      </c>
      <c r="B487" t="s">
        <v>23</v>
      </c>
      <c r="C487" t="s">
        <v>10</v>
      </c>
      <c r="D487">
        <v>1</v>
      </c>
      <c r="E487" t="s">
        <v>11</v>
      </c>
      <c r="F487" t="s">
        <v>9</v>
      </c>
      <c r="G487">
        <v>1958</v>
      </c>
      <c r="H487">
        <v>2436</v>
      </c>
      <c r="I487">
        <v>131</v>
      </c>
      <c r="J487">
        <v>360</v>
      </c>
      <c r="K487">
        <v>1</v>
      </c>
      <c r="L487" t="s">
        <v>3</v>
      </c>
      <c r="M487" t="s">
        <v>39</v>
      </c>
      <c r="N487" s="6">
        <f t="shared" ca="1" si="7"/>
        <v>43777</v>
      </c>
    </row>
    <row r="488" spans="1:14">
      <c r="A488" t="s">
        <v>526</v>
      </c>
      <c r="B488" t="s">
        <v>23</v>
      </c>
      <c r="C488" t="s">
        <v>9</v>
      </c>
      <c r="D488">
        <v>2</v>
      </c>
      <c r="E488" t="s">
        <v>7</v>
      </c>
      <c r="F488" t="s">
        <v>9</v>
      </c>
      <c r="G488">
        <v>3547</v>
      </c>
      <c r="H488">
        <v>0</v>
      </c>
      <c r="I488">
        <v>80</v>
      </c>
      <c r="J488">
        <v>360</v>
      </c>
      <c r="K488">
        <v>0</v>
      </c>
      <c r="L488" t="s">
        <v>3</v>
      </c>
      <c r="M488" t="s">
        <v>41</v>
      </c>
      <c r="N488" s="6">
        <f t="shared" ca="1" si="7"/>
        <v>43714</v>
      </c>
    </row>
    <row r="489" spans="1:14">
      <c r="A489" t="s">
        <v>527</v>
      </c>
      <c r="B489" t="s">
        <v>23</v>
      </c>
      <c r="C489" t="s">
        <v>10</v>
      </c>
      <c r="D489">
        <v>1</v>
      </c>
      <c r="E489" t="s">
        <v>7</v>
      </c>
      <c r="F489" t="s">
        <v>9</v>
      </c>
      <c r="G489">
        <v>18333</v>
      </c>
      <c r="H489">
        <v>0</v>
      </c>
      <c r="I489">
        <v>500</v>
      </c>
      <c r="J489">
        <v>360</v>
      </c>
      <c r="K489">
        <v>1</v>
      </c>
      <c r="L489" t="s">
        <v>5</v>
      </c>
      <c r="M489" t="s">
        <v>41</v>
      </c>
      <c r="N489" s="6">
        <f t="shared" ca="1" si="7"/>
        <v>43570</v>
      </c>
    </row>
    <row r="490" spans="1:14">
      <c r="A490" t="s">
        <v>528</v>
      </c>
      <c r="B490" t="s">
        <v>23</v>
      </c>
      <c r="C490" t="s">
        <v>10</v>
      </c>
      <c r="D490">
        <v>2</v>
      </c>
      <c r="E490" t="s">
        <v>7</v>
      </c>
      <c r="F490" t="s">
        <v>10</v>
      </c>
      <c r="G490">
        <v>4583</v>
      </c>
      <c r="H490">
        <v>2083</v>
      </c>
      <c r="I490">
        <v>160</v>
      </c>
      <c r="J490">
        <v>360</v>
      </c>
      <c r="K490">
        <v>1</v>
      </c>
      <c r="L490" t="s">
        <v>4</v>
      </c>
      <c r="M490" t="s">
        <v>39</v>
      </c>
      <c r="N490" s="6">
        <f t="shared" ca="1" si="7"/>
        <v>43554</v>
      </c>
    </row>
    <row r="491" spans="1:14">
      <c r="A491" t="s">
        <v>529</v>
      </c>
      <c r="B491" t="s">
        <v>23</v>
      </c>
      <c r="C491" t="s">
        <v>9</v>
      </c>
      <c r="D491">
        <v>0</v>
      </c>
      <c r="E491" t="s">
        <v>7</v>
      </c>
      <c r="F491" t="s">
        <v>9</v>
      </c>
      <c r="G491">
        <v>2435</v>
      </c>
      <c r="H491">
        <v>0</v>
      </c>
      <c r="I491">
        <v>75</v>
      </c>
      <c r="J491">
        <v>360</v>
      </c>
      <c r="K491">
        <v>1</v>
      </c>
      <c r="L491" t="s">
        <v>5</v>
      </c>
      <c r="M491" t="s">
        <v>41</v>
      </c>
      <c r="N491" s="6">
        <f t="shared" ca="1" si="7"/>
        <v>43772</v>
      </c>
    </row>
    <row r="492" spans="1:14">
      <c r="A492" t="s">
        <v>530</v>
      </c>
      <c r="B492" t="s">
        <v>23</v>
      </c>
      <c r="C492" t="s">
        <v>9</v>
      </c>
      <c r="D492">
        <v>0</v>
      </c>
      <c r="E492" t="s">
        <v>11</v>
      </c>
      <c r="F492" t="s">
        <v>9</v>
      </c>
      <c r="G492">
        <v>2699</v>
      </c>
      <c r="H492">
        <v>2785</v>
      </c>
      <c r="I492">
        <v>96</v>
      </c>
      <c r="J492">
        <v>360</v>
      </c>
      <c r="L492" t="s">
        <v>4</v>
      </c>
      <c r="M492" t="s">
        <v>39</v>
      </c>
      <c r="N492" s="6">
        <f t="shared" ca="1" si="7"/>
        <v>43562</v>
      </c>
    </row>
    <row r="493" spans="1:14">
      <c r="A493" t="s">
        <v>531</v>
      </c>
      <c r="B493" t="s">
        <v>23</v>
      </c>
      <c r="C493" t="s">
        <v>10</v>
      </c>
      <c r="D493">
        <v>1</v>
      </c>
      <c r="E493" t="s">
        <v>11</v>
      </c>
      <c r="F493" t="s">
        <v>9</v>
      </c>
      <c r="G493">
        <v>5333</v>
      </c>
      <c r="H493">
        <v>1131</v>
      </c>
      <c r="I493">
        <v>186</v>
      </c>
      <c r="J493">
        <v>360</v>
      </c>
      <c r="L493" t="s">
        <v>5</v>
      </c>
      <c r="M493" t="s">
        <v>39</v>
      </c>
      <c r="N493" s="6">
        <f t="shared" ca="1" si="7"/>
        <v>43584</v>
      </c>
    </row>
    <row r="494" spans="1:14">
      <c r="A494" t="s">
        <v>532</v>
      </c>
      <c r="B494" t="s">
        <v>23</v>
      </c>
      <c r="C494" t="s">
        <v>9</v>
      </c>
      <c r="D494">
        <v>0</v>
      </c>
      <c r="E494" t="s">
        <v>11</v>
      </c>
      <c r="F494" t="s">
        <v>9</v>
      </c>
      <c r="G494">
        <v>3691</v>
      </c>
      <c r="H494">
        <v>0</v>
      </c>
      <c r="I494">
        <v>110</v>
      </c>
      <c r="J494">
        <v>360</v>
      </c>
      <c r="K494">
        <v>1</v>
      </c>
      <c r="L494" t="s">
        <v>3</v>
      </c>
      <c r="M494" t="s">
        <v>39</v>
      </c>
      <c r="N494" s="6">
        <f t="shared" ca="1" si="7"/>
        <v>43740</v>
      </c>
    </row>
    <row r="495" spans="1:14">
      <c r="A495" t="s">
        <v>533</v>
      </c>
      <c r="B495" t="s">
        <v>8</v>
      </c>
      <c r="C495" t="s">
        <v>9</v>
      </c>
      <c r="D495">
        <v>0</v>
      </c>
      <c r="E495" t="s">
        <v>11</v>
      </c>
      <c r="F495" t="s">
        <v>10</v>
      </c>
      <c r="G495">
        <v>17263</v>
      </c>
      <c r="H495">
        <v>0</v>
      </c>
      <c r="I495">
        <v>225</v>
      </c>
      <c r="J495">
        <v>360</v>
      </c>
      <c r="K495">
        <v>1</v>
      </c>
      <c r="L495" t="s">
        <v>4</v>
      </c>
      <c r="M495" t="s">
        <v>39</v>
      </c>
      <c r="N495" s="6">
        <f t="shared" ca="1" si="7"/>
        <v>43522</v>
      </c>
    </row>
    <row r="496" spans="1:14">
      <c r="A496" t="s">
        <v>534</v>
      </c>
      <c r="B496" t="s">
        <v>23</v>
      </c>
      <c r="C496" t="s">
        <v>10</v>
      </c>
      <c r="D496">
        <v>0</v>
      </c>
      <c r="E496" t="s">
        <v>7</v>
      </c>
      <c r="F496" t="s">
        <v>9</v>
      </c>
      <c r="G496">
        <v>3597</v>
      </c>
      <c r="H496">
        <v>2157</v>
      </c>
      <c r="I496">
        <v>119</v>
      </c>
      <c r="J496">
        <v>360</v>
      </c>
      <c r="K496">
        <v>0</v>
      </c>
      <c r="L496" t="s">
        <v>3</v>
      </c>
      <c r="M496" t="s">
        <v>41</v>
      </c>
      <c r="N496" s="6">
        <f t="shared" ca="1" si="7"/>
        <v>43479</v>
      </c>
    </row>
    <row r="497" spans="1:14">
      <c r="A497" t="s">
        <v>535</v>
      </c>
      <c r="B497" t="s">
        <v>8</v>
      </c>
      <c r="C497" t="s">
        <v>10</v>
      </c>
      <c r="D497">
        <v>1</v>
      </c>
      <c r="E497" t="s">
        <v>7</v>
      </c>
      <c r="F497" t="s">
        <v>9</v>
      </c>
      <c r="G497">
        <v>3326</v>
      </c>
      <c r="H497">
        <v>913</v>
      </c>
      <c r="I497">
        <v>105</v>
      </c>
      <c r="J497">
        <v>84</v>
      </c>
      <c r="K497">
        <v>1</v>
      </c>
      <c r="L497" t="s">
        <v>4</v>
      </c>
      <c r="M497" t="s">
        <v>39</v>
      </c>
      <c r="N497" s="6">
        <f t="shared" ca="1" si="7"/>
        <v>43492</v>
      </c>
    </row>
    <row r="498" spans="1:14">
      <c r="A498" t="s">
        <v>536</v>
      </c>
      <c r="B498" t="s">
        <v>23</v>
      </c>
      <c r="C498" t="s">
        <v>10</v>
      </c>
      <c r="D498">
        <v>0</v>
      </c>
      <c r="E498" t="s">
        <v>11</v>
      </c>
      <c r="F498" t="s">
        <v>9</v>
      </c>
      <c r="G498">
        <v>2600</v>
      </c>
      <c r="H498">
        <v>1700</v>
      </c>
      <c r="I498">
        <v>107</v>
      </c>
      <c r="J498">
        <v>360</v>
      </c>
      <c r="K498">
        <v>1</v>
      </c>
      <c r="L498" t="s">
        <v>3</v>
      </c>
      <c r="M498" t="s">
        <v>39</v>
      </c>
      <c r="N498" s="6">
        <f t="shared" ca="1" si="7"/>
        <v>43565</v>
      </c>
    </row>
    <row r="499" spans="1:14">
      <c r="A499" t="s">
        <v>537</v>
      </c>
      <c r="B499" t="s">
        <v>23</v>
      </c>
      <c r="C499" t="s">
        <v>10</v>
      </c>
      <c r="D499">
        <v>0</v>
      </c>
      <c r="E499" t="s">
        <v>7</v>
      </c>
      <c r="F499" t="s">
        <v>9</v>
      </c>
      <c r="G499">
        <v>4625</v>
      </c>
      <c r="H499">
        <v>2857</v>
      </c>
      <c r="I499">
        <v>111</v>
      </c>
      <c r="J499">
        <v>12</v>
      </c>
      <c r="L499" t="s">
        <v>5</v>
      </c>
      <c r="M499" t="s">
        <v>39</v>
      </c>
      <c r="N499" s="6">
        <f t="shared" ca="1" si="7"/>
        <v>43767</v>
      </c>
    </row>
    <row r="500" spans="1:14">
      <c r="A500" t="s">
        <v>538</v>
      </c>
      <c r="B500" t="s">
        <v>23</v>
      </c>
      <c r="C500" t="s">
        <v>10</v>
      </c>
      <c r="D500">
        <v>1</v>
      </c>
      <c r="E500" t="s">
        <v>7</v>
      </c>
      <c r="F500" t="s">
        <v>10</v>
      </c>
      <c r="G500">
        <v>2895</v>
      </c>
      <c r="H500">
        <v>0</v>
      </c>
      <c r="I500">
        <v>95</v>
      </c>
      <c r="J500">
        <v>360</v>
      </c>
      <c r="K500">
        <v>1</v>
      </c>
      <c r="L500" t="s">
        <v>4</v>
      </c>
      <c r="M500" t="s">
        <v>39</v>
      </c>
      <c r="N500" s="6">
        <f t="shared" ca="1" si="7"/>
        <v>43567</v>
      </c>
    </row>
    <row r="501" spans="1:14">
      <c r="A501" t="s">
        <v>539</v>
      </c>
      <c r="B501" t="s">
        <v>23</v>
      </c>
      <c r="C501" t="s">
        <v>9</v>
      </c>
      <c r="D501">
        <v>0</v>
      </c>
      <c r="E501" t="s">
        <v>7</v>
      </c>
      <c r="F501" t="s">
        <v>9</v>
      </c>
      <c r="G501">
        <v>6283</v>
      </c>
      <c r="H501">
        <v>4416</v>
      </c>
      <c r="I501">
        <v>209</v>
      </c>
      <c r="J501">
        <v>360</v>
      </c>
      <c r="K501">
        <v>0</v>
      </c>
      <c r="L501" t="s">
        <v>3</v>
      </c>
      <c r="M501" t="s">
        <v>41</v>
      </c>
      <c r="N501" s="6">
        <f t="shared" ca="1" si="7"/>
        <v>43734</v>
      </c>
    </row>
    <row r="502" spans="1:14">
      <c r="A502" t="s">
        <v>540</v>
      </c>
      <c r="B502" t="s">
        <v>8</v>
      </c>
      <c r="C502" t="s">
        <v>9</v>
      </c>
      <c r="D502">
        <v>0</v>
      </c>
      <c r="E502" t="s">
        <v>7</v>
      </c>
      <c r="F502" t="s">
        <v>9</v>
      </c>
      <c r="G502">
        <v>645</v>
      </c>
      <c r="H502">
        <v>3683</v>
      </c>
      <c r="I502">
        <v>113</v>
      </c>
      <c r="J502">
        <v>480</v>
      </c>
      <c r="K502">
        <v>1</v>
      </c>
      <c r="L502" t="s">
        <v>3</v>
      </c>
      <c r="M502" t="s">
        <v>39</v>
      </c>
      <c r="N502" s="6">
        <f t="shared" ca="1" si="7"/>
        <v>43761</v>
      </c>
    </row>
    <row r="503" spans="1:14">
      <c r="A503" t="s">
        <v>541</v>
      </c>
      <c r="B503" t="s">
        <v>8</v>
      </c>
      <c r="C503" t="s">
        <v>9</v>
      </c>
      <c r="D503">
        <v>0</v>
      </c>
      <c r="E503" t="s">
        <v>7</v>
      </c>
      <c r="F503" t="s">
        <v>9</v>
      </c>
      <c r="G503">
        <v>3159</v>
      </c>
      <c r="H503">
        <v>0</v>
      </c>
      <c r="I503">
        <v>100</v>
      </c>
      <c r="J503">
        <v>360</v>
      </c>
      <c r="K503">
        <v>1</v>
      </c>
      <c r="L503" t="s">
        <v>4</v>
      </c>
      <c r="M503" t="s">
        <v>39</v>
      </c>
      <c r="N503" s="6">
        <f t="shared" ca="1" si="7"/>
        <v>43609</v>
      </c>
    </row>
    <row r="504" spans="1:14">
      <c r="A504" t="s">
        <v>542</v>
      </c>
      <c r="B504" t="s">
        <v>23</v>
      </c>
      <c r="C504" t="s">
        <v>10</v>
      </c>
      <c r="D504">
        <v>2</v>
      </c>
      <c r="E504" t="s">
        <v>7</v>
      </c>
      <c r="F504" t="s">
        <v>9</v>
      </c>
      <c r="G504">
        <v>4865</v>
      </c>
      <c r="H504">
        <v>5624</v>
      </c>
      <c r="I504">
        <v>208</v>
      </c>
      <c r="J504">
        <v>360</v>
      </c>
      <c r="K504">
        <v>1</v>
      </c>
      <c r="L504" t="s">
        <v>4</v>
      </c>
      <c r="M504" t="s">
        <v>39</v>
      </c>
      <c r="N504" s="6">
        <f t="shared" ca="1" si="7"/>
        <v>43727</v>
      </c>
    </row>
    <row r="505" spans="1:14">
      <c r="A505" t="s">
        <v>543</v>
      </c>
      <c r="B505" t="s">
        <v>23</v>
      </c>
      <c r="C505" t="s">
        <v>10</v>
      </c>
      <c r="D505">
        <v>1</v>
      </c>
      <c r="E505" t="s">
        <v>11</v>
      </c>
      <c r="F505" t="s">
        <v>9</v>
      </c>
      <c r="G505">
        <v>4050</v>
      </c>
      <c r="H505">
        <v>5302</v>
      </c>
      <c r="I505">
        <v>138</v>
      </c>
      <c r="J505">
        <v>360</v>
      </c>
      <c r="L505" t="s">
        <v>3</v>
      </c>
      <c r="M505" t="s">
        <v>41</v>
      </c>
      <c r="N505" s="6">
        <f t="shared" ca="1" si="7"/>
        <v>43615</v>
      </c>
    </row>
    <row r="506" spans="1:14">
      <c r="A506" t="s">
        <v>544</v>
      </c>
      <c r="B506" t="s">
        <v>23</v>
      </c>
      <c r="C506" t="s">
        <v>10</v>
      </c>
      <c r="D506">
        <v>0</v>
      </c>
      <c r="E506" t="s">
        <v>11</v>
      </c>
      <c r="F506" t="s">
        <v>9</v>
      </c>
      <c r="G506">
        <v>3814</v>
      </c>
      <c r="H506">
        <v>1483</v>
      </c>
      <c r="I506">
        <v>124</v>
      </c>
      <c r="J506">
        <v>300</v>
      </c>
      <c r="K506">
        <v>1</v>
      </c>
      <c r="L506" t="s">
        <v>4</v>
      </c>
      <c r="M506" t="s">
        <v>39</v>
      </c>
      <c r="N506" s="6">
        <f t="shared" ca="1" si="7"/>
        <v>43511</v>
      </c>
    </row>
    <row r="507" spans="1:14">
      <c r="A507" t="s">
        <v>545</v>
      </c>
      <c r="B507" t="s">
        <v>23</v>
      </c>
      <c r="C507" t="s">
        <v>10</v>
      </c>
      <c r="D507">
        <v>2</v>
      </c>
      <c r="E507" t="s">
        <v>7</v>
      </c>
      <c r="F507" t="s">
        <v>9</v>
      </c>
      <c r="G507">
        <v>3510</v>
      </c>
      <c r="H507">
        <v>4416</v>
      </c>
      <c r="I507">
        <v>243</v>
      </c>
      <c r="J507">
        <v>360</v>
      </c>
      <c r="K507">
        <v>1</v>
      </c>
      <c r="L507" t="s">
        <v>3</v>
      </c>
      <c r="M507" t="s">
        <v>39</v>
      </c>
      <c r="N507" s="6">
        <f t="shared" ca="1" si="7"/>
        <v>43519</v>
      </c>
    </row>
    <row r="508" spans="1:14">
      <c r="A508" t="s">
        <v>546</v>
      </c>
      <c r="B508" t="s">
        <v>23</v>
      </c>
      <c r="C508" t="s">
        <v>10</v>
      </c>
      <c r="D508">
        <v>0</v>
      </c>
      <c r="E508" t="s">
        <v>7</v>
      </c>
      <c r="F508" t="s">
        <v>9</v>
      </c>
      <c r="G508">
        <v>20833</v>
      </c>
      <c r="H508">
        <v>6667</v>
      </c>
      <c r="I508">
        <v>480</v>
      </c>
      <c r="J508">
        <v>360</v>
      </c>
      <c r="L508" t="s">
        <v>5</v>
      </c>
      <c r="M508" t="s">
        <v>39</v>
      </c>
      <c r="N508" s="6">
        <f t="shared" ca="1" si="7"/>
        <v>43748</v>
      </c>
    </row>
    <row r="509" spans="1:14">
      <c r="A509" t="s">
        <v>547</v>
      </c>
      <c r="B509" t="s">
        <v>20</v>
      </c>
      <c r="C509" t="s">
        <v>9</v>
      </c>
      <c r="D509">
        <v>0</v>
      </c>
      <c r="E509" t="s">
        <v>7</v>
      </c>
      <c r="F509" t="s">
        <v>9</v>
      </c>
      <c r="G509">
        <v>3583</v>
      </c>
      <c r="H509">
        <v>0</v>
      </c>
      <c r="I509">
        <v>96</v>
      </c>
      <c r="J509">
        <v>360</v>
      </c>
      <c r="K509">
        <v>1</v>
      </c>
      <c r="L509" t="s">
        <v>5</v>
      </c>
      <c r="M509" t="s">
        <v>41</v>
      </c>
      <c r="N509" s="6">
        <f t="shared" ca="1" si="7"/>
        <v>43539</v>
      </c>
    </row>
    <row r="510" spans="1:14">
      <c r="A510" t="s">
        <v>548</v>
      </c>
      <c r="B510" t="s">
        <v>23</v>
      </c>
      <c r="C510" t="s">
        <v>10</v>
      </c>
      <c r="D510">
        <v>0</v>
      </c>
      <c r="E510" t="s">
        <v>7</v>
      </c>
      <c r="F510" t="s">
        <v>10</v>
      </c>
      <c r="G510">
        <v>2479</v>
      </c>
      <c r="H510">
        <v>3013</v>
      </c>
      <c r="I510">
        <v>188</v>
      </c>
      <c r="J510">
        <v>360</v>
      </c>
      <c r="K510">
        <v>1</v>
      </c>
      <c r="L510" t="s">
        <v>5</v>
      </c>
      <c r="M510" t="s">
        <v>39</v>
      </c>
      <c r="N510" s="6">
        <f t="shared" ca="1" si="7"/>
        <v>43708</v>
      </c>
    </row>
    <row r="511" spans="1:14">
      <c r="A511" t="s">
        <v>549</v>
      </c>
      <c r="B511" t="s">
        <v>8</v>
      </c>
      <c r="C511" t="s">
        <v>9</v>
      </c>
      <c r="D511">
        <v>1</v>
      </c>
      <c r="E511" t="s">
        <v>7</v>
      </c>
      <c r="F511" t="s">
        <v>9</v>
      </c>
      <c r="G511">
        <v>13262</v>
      </c>
      <c r="H511">
        <v>0</v>
      </c>
      <c r="I511">
        <v>40</v>
      </c>
      <c r="J511">
        <v>360</v>
      </c>
      <c r="K511">
        <v>1</v>
      </c>
      <c r="L511" t="s">
        <v>5</v>
      </c>
      <c r="M511" t="s">
        <v>39</v>
      </c>
      <c r="N511" s="6">
        <f t="shared" ca="1" si="7"/>
        <v>43488</v>
      </c>
    </row>
    <row r="512" spans="1:14">
      <c r="A512" t="s">
        <v>550</v>
      </c>
      <c r="B512" t="s">
        <v>23</v>
      </c>
      <c r="C512" t="s">
        <v>9</v>
      </c>
      <c r="D512">
        <v>0</v>
      </c>
      <c r="E512" t="s">
        <v>11</v>
      </c>
      <c r="F512" t="s">
        <v>9</v>
      </c>
      <c r="G512">
        <v>3598</v>
      </c>
      <c r="H512">
        <v>1287</v>
      </c>
      <c r="I512">
        <v>100</v>
      </c>
      <c r="J512">
        <v>360</v>
      </c>
      <c r="K512">
        <v>1</v>
      </c>
      <c r="L512" t="s">
        <v>3</v>
      </c>
      <c r="M512" t="s">
        <v>41</v>
      </c>
      <c r="N512" s="6">
        <f t="shared" ca="1" si="7"/>
        <v>43510</v>
      </c>
    </row>
    <row r="513" spans="1:14">
      <c r="A513" t="s">
        <v>551</v>
      </c>
      <c r="B513" t="s">
        <v>23</v>
      </c>
      <c r="C513" t="s">
        <v>10</v>
      </c>
      <c r="D513">
        <v>1</v>
      </c>
      <c r="E513" t="s">
        <v>7</v>
      </c>
      <c r="F513" t="s">
        <v>9</v>
      </c>
      <c r="G513">
        <v>6065</v>
      </c>
      <c r="H513">
        <v>2004</v>
      </c>
      <c r="I513">
        <v>250</v>
      </c>
      <c r="J513">
        <v>360</v>
      </c>
      <c r="K513">
        <v>1</v>
      </c>
      <c r="L513" t="s">
        <v>4</v>
      </c>
      <c r="M513" t="s">
        <v>39</v>
      </c>
      <c r="N513" s="6">
        <f t="shared" ca="1" si="7"/>
        <v>43580</v>
      </c>
    </row>
    <row r="514" spans="1:14">
      <c r="A514" t="s">
        <v>552</v>
      </c>
      <c r="B514" t="s">
        <v>23</v>
      </c>
      <c r="C514" t="s">
        <v>10</v>
      </c>
      <c r="D514">
        <v>2</v>
      </c>
      <c r="E514" t="s">
        <v>7</v>
      </c>
      <c r="F514" t="s">
        <v>9</v>
      </c>
      <c r="G514">
        <v>3283</v>
      </c>
      <c r="H514">
        <v>2035</v>
      </c>
      <c r="I514">
        <v>148</v>
      </c>
      <c r="J514">
        <v>360</v>
      </c>
      <c r="K514">
        <v>1</v>
      </c>
      <c r="L514" t="s">
        <v>5</v>
      </c>
      <c r="M514" t="s">
        <v>39</v>
      </c>
      <c r="N514" s="6">
        <f t="shared" ref="N514:N577" ca="1" si="8">RANDBETWEEN(DATE(2019,1,1),DATE(2019,12,31))</f>
        <v>43618</v>
      </c>
    </row>
    <row r="515" spans="1:14">
      <c r="A515" t="s">
        <v>553</v>
      </c>
      <c r="B515" t="s">
        <v>23</v>
      </c>
      <c r="C515" t="s">
        <v>10</v>
      </c>
      <c r="D515">
        <v>0</v>
      </c>
      <c r="E515" t="s">
        <v>7</v>
      </c>
      <c r="F515" t="s">
        <v>9</v>
      </c>
      <c r="G515">
        <v>2130</v>
      </c>
      <c r="H515">
        <v>6666</v>
      </c>
      <c r="I515">
        <v>70</v>
      </c>
      <c r="J515">
        <v>180</v>
      </c>
      <c r="K515">
        <v>1</v>
      </c>
      <c r="L515" t="s">
        <v>4</v>
      </c>
      <c r="M515" t="s">
        <v>41</v>
      </c>
      <c r="N515" s="6">
        <f t="shared" ca="1" si="8"/>
        <v>43715</v>
      </c>
    </row>
    <row r="516" spans="1:14">
      <c r="A516" t="s">
        <v>554</v>
      </c>
      <c r="B516" t="s">
        <v>23</v>
      </c>
      <c r="C516" t="s">
        <v>9</v>
      </c>
      <c r="D516">
        <v>0</v>
      </c>
      <c r="E516" t="s">
        <v>7</v>
      </c>
      <c r="F516" t="s">
        <v>9</v>
      </c>
      <c r="G516">
        <v>5815</v>
      </c>
      <c r="H516">
        <v>3666</v>
      </c>
      <c r="I516">
        <v>311</v>
      </c>
      <c r="J516">
        <v>360</v>
      </c>
      <c r="K516">
        <v>1</v>
      </c>
      <c r="L516" t="s">
        <v>3</v>
      </c>
      <c r="M516" t="s">
        <v>41</v>
      </c>
      <c r="N516" s="6">
        <f t="shared" ca="1" si="8"/>
        <v>43824</v>
      </c>
    </row>
    <row r="517" spans="1:14">
      <c r="A517" t="s">
        <v>555</v>
      </c>
      <c r="B517" t="s">
        <v>23</v>
      </c>
      <c r="C517" t="s">
        <v>10</v>
      </c>
      <c r="D517">
        <v>3</v>
      </c>
      <c r="E517" t="s">
        <v>7</v>
      </c>
      <c r="F517" t="s">
        <v>9</v>
      </c>
      <c r="G517">
        <v>3466</v>
      </c>
      <c r="H517">
        <v>3428</v>
      </c>
      <c r="I517">
        <v>150</v>
      </c>
      <c r="J517">
        <v>360</v>
      </c>
      <c r="K517">
        <v>1</v>
      </c>
      <c r="L517" t="s">
        <v>3</v>
      </c>
      <c r="M517" t="s">
        <v>39</v>
      </c>
      <c r="N517" s="6">
        <f t="shared" ca="1" si="8"/>
        <v>43669</v>
      </c>
    </row>
    <row r="518" spans="1:14">
      <c r="A518" t="s">
        <v>556</v>
      </c>
      <c r="B518" t="s">
        <v>8</v>
      </c>
      <c r="C518" t="s">
        <v>10</v>
      </c>
      <c r="D518">
        <v>2</v>
      </c>
      <c r="E518" t="s">
        <v>7</v>
      </c>
      <c r="F518" t="s">
        <v>9</v>
      </c>
      <c r="G518">
        <v>2031</v>
      </c>
      <c r="H518">
        <v>1632</v>
      </c>
      <c r="I518">
        <v>113</v>
      </c>
      <c r="J518">
        <v>480</v>
      </c>
      <c r="K518">
        <v>1</v>
      </c>
      <c r="L518" t="s">
        <v>4</v>
      </c>
      <c r="M518" t="s">
        <v>39</v>
      </c>
      <c r="N518" s="6">
        <f t="shared" ca="1" si="8"/>
        <v>43688</v>
      </c>
    </row>
    <row r="519" spans="1:14">
      <c r="A519" t="s">
        <v>557</v>
      </c>
      <c r="B519" t="s">
        <v>23</v>
      </c>
      <c r="C519" t="s">
        <v>10</v>
      </c>
      <c r="E519" t="s">
        <v>11</v>
      </c>
      <c r="F519" t="s">
        <v>9</v>
      </c>
      <c r="G519">
        <v>3074</v>
      </c>
      <c r="H519">
        <v>1800</v>
      </c>
      <c r="I519">
        <v>123</v>
      </c>
      <c r="J519">
        <v>360</v>
      </c>
      <c r="K519">
        <v>0</v>
      </c>
      <c r="L519" t="s">
        <v>4</v>
      </c>
      <c r="M519" t="s">
        <v>41</v>
      </c>
      <c r="N519" s="6">
        <f t="shared" ca="1" si="8"/>
        <v>43508</v>
      </c>
    </row>
    <row r="520" spans="1:14">
      <c r="A520" t="s">
        <v>558</v>
      </c>
      <c r="B520" t="s">
        <v>23</v>
      </c>
      <c r="C520" t="s">
        <v>9</v>
      </c>
      <c r="D520">
        <v>0</v>
      </c>
      <c r="E520" t="s">
        <v>7</v>
      </c>
      <c r="F520" t="s">
        <v>9</v>
      </c>
      <c r="G520">
        <v>4683</v>
      </c>
      <c r="H520">
        <v>1915</v>
      </c>
      <c r="I520">
        <v>185</v>
      </c>
      <c r="J520">
        <v>360</v>
      </c>
      <c r="K520">
        <v>1</v>
      </c>
      <c r="L520" t="s">
        <v>4</v>
      </c>
      <c r="M520" t="s">
        <v>41</v>
      </c>
      <c r="N520" s="6">
        <f t="shared" ca="1" si="8"/>
        <v>43574</v>
      </c>
    </row>
    <row r="521" spans="1:14">
      <c r="A521" t="s">
        <v>559</v>
      </c>
      <c r="B521" t="s">
        <v>8</v>
      </c>
      <c r="C521" t="s">
        <v>9</v>
      </c>
      <c r="D521">
        <v>0</v>
      </c>
      <c r="E521" t="s">
        <v>11</v>
      </c>
      <c r="F521" t="s">
        <v>9</v>
      </c>
      <c r="G521">
        <v>3400</v>
      </c>
      <c r="H521">
        <v>0</v>
      </c>
      <c r="I521">
        <v>95</v>
      </c>
      <c r="J521">
        <v>360</v>
      </c>
      <c r="K521">
        <v>1</v>
      </c>
      <c r="L521" t="s">
        <v>3</v>
      </c>
      <c r="M521" t="s">
        <v>41</v>
      </c>
      <c r="N521" s="6">
        <f t="shared" ca="1" si="8"/>
        <v>43682</v>
      </c>
    </row>
    <row r="522" spans="1:14">
      <c r="A522" t="s">
        <v>560</v>
      </c>
      <c r="B522" t="s">
        <v>23</v>
      </c>
      <c r="C522" t="s">
        <v>10</v>
      </c>
      <c r="D522">
        <v>2</v>
      </c>
      <c r="E522" t="s">
        <v>11</v>
      </c>
      <c r="F522" t="s">
        <v>9</v>
      </c>
      <c r="G522">
        <v>2192</v>
      </c>
      <c r="H522">
        <v>1742</v>
      </c>
      <c r="I522">
        <v>45</v>
      </c>
      <c r="J522">
        <v>360</v>
      </c>
      <c r="K522">
        <v>1</v>
      </c>
      <c r="L522" t="s">
        <v>4</v>
      </c>
      <c r="M522" t="s">
        <v>39</v>
      </c>
      <c r="N522" s="6">
        <f t="shared" ca="1" si="8"/>
        <v>43590</v>
      </c>
    </row>
    <row r="523" spans="1:14">
      <c r="A523" t="s">
        <v>561</v>
      </c>
      <c r="B523" t="s">
        <v>23</v>
      </c>
      <c r="C523" t="s">
        <v>9</v>
      </c>
      <c r="D523">
        <v>0</v>
      </c>
      <c r="E523" t="s">
        <v>7</v>
      </c>
      <c r="F523" t="s">
        <v>9</v>
      </c>
      <c r="G523">
        <v>2500</v>
      </c>
      <c r="H523">
        <v>0</v>
      </c>
      <c r="I523">
        <v>55</v>
      </c>
      <c r="J523">
        <v>360</v>
      </c>
      <c r="K523">
        <v>1</v>
      </c>
      <c r="L523" t="s">
        <v>4</v>
      </c>
      <c r="M523" t="s">
        <v>39</v>
      </c>
      <c r="N523" s="6">
        <f t="shared" ca="1" si="8"/>
        <v>43601</v>
      </c>
    </row>
    <row r="524" spans="1:14">
      <c r="A524" t="s">
        <v>562</v>
      </c>
      <c r="B524" t="s">
        <v>23</v>
      </c>
      <c r="C524" t="s">
        <v>10</v>
      </c>
      <c r="D524">
        <v>3</v>
      </c>
      <c r="E524" t="s">
        <v>7</v>
      </c>
      <c r="F524" t="s">
        <v>10</v>
      </c>
      <c r="G524">
        <v>5677</v>
      </c>
      <c r="H524">
        <v>1424</v>
      </c>
      <c r="I524">
        <v>100</v>
      </c>
      <c r="J524">
        <v>360</v>
      </c>
      <c r="K524">
        <v>1</v>
      </c>
      <c r="L524" t="s">
        <v>3</v>
      </c>
      <c r="M524" t="s">
        <v>39</v>
      </c>
      <c r="N524" s="6">
        <f t="shared" ca="1" si="8"/>
        <v>43593</v>
      </c>
    </row>
    <row r="525" spans="1:14">
      <c r="A525" t="s">
        <v>563</v>
      </c>
      <c r="B525" t="s">
        <v>23</v>
      </c>
      <c r="C525" t="s">
        <v>10</v>
      </c>
      <c r="D525">
        <v>2</v>
      </c>
      <c r="E525" t="s">
        <v>7</v>
      </c>
      <c r="F525" t="s">
        <v>10</v>
      </c>
      <c r="G525">
        <v>7948</v>
      </c>
      <c r="H525">
        <v>7166</v>
      </c>
      <c r="I525">
        <v>480</v>
      </c>
      <c r="J525">
        <v>360</v>
      </c>
      <c r="K525">
        <v>1</v>
      </c>
      <c r="L525" t="s">
        <v>3</v>
      </c>
      <c r="M525" t="s">
        <v>39</v>
      </c>
      <c r="N525" s="6">
        <f t="shared" ca="1" si="8"/>
        <v>43703</v>
      </c>
    </row>
    <row r="526" spans="1:14">
      <c r="A526" t="s">
        <v>564</v>
      </c>
      <c r="B526" t="s">
        <v>23</v>
      </c>
      <c r="C526" t="s">
        <v>9</v>
      </c>
      <c r="D526">
        <v>0</v>
      </c>
      <c r="E526" t="s">
        <v>7</v>
      </c>
      <c r="F526" t="s">
        <v>9</v>
      </c>
      <c r="G526">
        <v>4680</v>
      </c>
      <c r="H526">
        <v>2087</v>
      </c>
      <c r="J526">
        <v>360</v>
      </c>
      <c r="K526">
        <v>1</v>
      </c>
      <c r="L526" t="s">
        <v>4</v>
      </c>
      <c r="M526" t="s">
        <v>41</v>
      </c>
      <c r="N526" s="6">
        <f t="shared" ca="1" si="8"/>
        <v>43823</v>
      </c>
    </row>
    <row r="527" spans="1:14">
      <c r="A527" t="s">
        <v>565</v>
      </c>
      <c r="B527" t="s">
        <v>23</v>
      </c>
      <c r="C527" t="s">
        <v>10</v>
      </c>
      <c r="D527">
        <v>2</v>
      </c>
      <c r="E527" t="s">
        <v>7</v>
      </c>
      <c r="F527" t="s">
        <v>10</v>
      </c>
      <c r="G527">
        <v>17500</v>
      </c>
      <c r="H527">
        <v>0</v>
      </c>
      <c r="I527">
        <v>400</v>
      </c>
      <c r="J527">
        <v>360</v>
      </c>
      <c r="K527">
        <v>1</v>
      </c>
      <c r="L527" t="s">
        <v>3</v>
      </c>
      <c r="M527" t="s">
        <v>39</v>
      </c>
      <c r="N527" s="6">
        <f t="shared" ca="1" si="8"/>
        <v>43506</v>
      </c>
    </row>
    <row r="528" spans="1:14">
      <c r="A528" t="s">
        <v>566</v>
      </c>
      <c r="B528" t="s">
        <v>23</v>
      </c>
      <c r="C528" t="s">
        <v>10</v>
      </c>
      <c r="D528">
        <v>0</v>
      </c>
      <c r="E528" t="s">
        <v>7</v>
      </c>
      <c r="F528" t="s">
        <v>9</v>
      </c>
      <c r="G528">
        <v>3775</v>
      </c>
      <c r="H528">
        <v>0</v>
      </c>
      <c r="I528">
        <v>110</v>
      </c>
      <c r="J528">
        <v>360</v>
      </c>
      <c r="K528">
        <v>1</v>
      </c>
      <c r="L528" t="s">
        <v>4</v>
      </c>
      <c r="M528" t="s">
        <v>39</v>
      </c>
      <c r="N528" s="6">
        <f t="shared" ca="1" si="8"/>
        <v>43555</v>
      </c>
    </row>
    <row r="529" spans="1:14">
      <c r="A529" t="s">
        <v>567</v>
      </c>
      <c r="B529" t="s">
        <v>23</v>
      </c>
      <c r="C529" t="s">
        <v>10</v>
      </c>
      <c r="D529">
        <v>1</v>
      </c>
      <c r="E529" t="s">
        <v>11</v>
      </c>
      <c r="F529" t="s">
        <v>9</v>
      </c>
      <c r="G529">
        <v>5285</v>
      </c>
      <c r="H529">
        <v>1430</v>
      </c>
      <c r="I529">
        <v>161</v>
      </c>
      <c r="J529">
        <v>360</v>
      </c>
      <c r="K529">
        <v>0</v>
      </c>
      <c r="L529" t="s">
        <v>4</v>
      </c>
      <c r="M529" t="s">
        <v>39</v>
      </c>
      <c r="N529" s="6">
        <f t="shared" ca="1" si="8"/>
        <v>43706</v>
      </c>
    </row>
    <row r="530" spans="1:14">
      <c r="A530" t="s">
        <v>568</v>
      </c>
      <c r="B530" t="s">
        <v>23</v>
      </c>
      <c r="C530" t="s">
        <v>9</v>
      </c>
      <c r="D530">
        <v>1</v>
      </c>
      <c r="E530" t="s">
        <v>11</v>
      </c>
      <c r="F530" t="s">
        <v>9</v>
      </c>
      <c r="G530">
        <v>2679</v>
      </c>
      <c r="H530">
        <v>1302</v>
      </c>
      <c r="I530">
        <v>94</v>
      </c>
      <c r="J530">
        <v>360</v>
      </c>
      <c r="K530">
        <v>1</v>
      </c>
      <c r="L530" t="s">
        <v>4</v>
      </c>
      <c r="M530" t="s">
        <v>39</v>
      </c>
      <c r="N530" s="6">
        <f t="shared" ca="1" si="8"/>
        <v>43701</v>
      </c>
    </row>
    <row r="531" spans="1:14">
      <c r="A531" t="s">
        <v>569</v>
      </c>
      <c r="B531" t="s">
        <v>23</v>
      </c>
      <c r="C531" t="s">
        <v>9</v>
      </c>
      <c r="D531">
        <v>0</v>
      </c>
      <c r="E531" t="s">
        <v>11</v>
      </c>
      <c r="F531" t="s">
        <v>9</v>
      </c>
      <c r="G531">
        <v>6783</v>
      </c>
      <c r="H531">
        <v>0</v>
      </c>
      <c r="I531">
        <v>130</v>
      </c>
      <c r="J531">
        <v>360</v>
      </c>
      <c r="K531">
        <v>1</v>
      </c>
      <c r="L531" t="s">
        <v>4</v>
      </c>
      <c r="M531" t="s">
        <v>39</v>
      </c>
      <c r="N531" s="6">
        <f t="shared" ca="1" si="8"/>
        <v>43503</v>
      </c>
    </row>
    <row r="532" spans="1:14">
      <c r="A532" t="s">
        <v>570</v>
      </c>
      <c r="B532" t="s">
        <v>23</v>
      </c>
      <c r="C532" t="s">
        <v>10</v>
      </c>
      <c r="D532">
        <v>0</v>
      </c>
      <c r="E532" t="s">
        <v>7</v>
      </c>
      <c r="F532" t="s">
        <v>9</v>
      </c>
      <c r="G532">
        <v>1025</v>
      </c>
      <c r="H532">
        <v>5500</v>
      </c>
      <c r="I532">
        <v>216</v>
      </c>
      <c r="J532">
        <v>360</v>
      </c>
      <c r="L532" t="s">
        <v>3</v>
      </c>
      <c r="M532" t="s">
        <v>39</v>
      </c>
      <c r="N532" s="6">
        <f t="shared" ca="1" si="8"/>
        <v>43663</v>
      </c>
    </row>
    <row r="533" spans="1:14">
      <c r="A533" t="s">
        <v>571</v>
      </c>
      <c r="B533" t="s">
        <v>23</v>
      </c>
      <c r="C533" t="s">
        <v>10</v>
      </c>
      <c r="D533">
        <v>3</v>
      </c>
      <c r="E533" t="s">
        <v>7</v>
      </c>
      <c r="F533" t="s">
        <v>9</v>
      </c>
      <c r="G533">
        <v>4281</v>
      </c>
      <c r="H533">
        <v>0</v>
      </c>
      <c r="I533">
        <v>100</v>
      </c>
      <c r="J533">
        <v>360</v>
      </c>
      <c r="K533">
        <v>1</v>
      </c>
      <c r="L533" t="s">
        <v>5</v>
      </c>
      <c r="M533" t="s">
        <v>39</v>
      </c>
      <c r="N533" s="6">
        <f t="shared" ca="1" si="8"/>
        <v>43604</v>
      </c>
    </row>
    <row r="534" spans="1:14">
      <c r="A534" t="s">
        <v>572</v>
      </c>
      <c r="B534" t="s">
        <v>23</v>
      </c>
      <c r="C534" t="s">
        <v>9</v>
      </c>
      <c r="D534">
        <v>2</v>
      </c>
      <c r="E534" t="s">
        <v>7</v>
      </c>
      <c r="F534" t="s">
        <v>9</v>
      </c>
      <c r="G534">
        <v>3588</v>
      </c>
      <c r="H534">
        <v>0</v>
      </c>
      <c r="I534">
        <v>110</v>
      </c>
      <c r="J534">
        <v>360</v>
      </c>
      <c r="K534">
        <v>0</v>
      </c>
      <c r="L534" t="s">
        <v>3</v>
      </c>
      <c r="M534" t="s">
        <v>41</v>
      </c>
      <c r="N534" s="6">
        <f t="shared" ca="1" si="8"/>
        <v>43826</v>
      </c>
    </row>
    <row r="535" spans="1:14">
      <c r="A535" t="s">
        <v>573</v>
      </c>
      <c r="B535" t="s">
        <v>23</v>
      </c>
      <c r="C535" t="s">
        <v>9</v>
      </c>
      <c r="D535">
        <v>1</v>
      </c>
      <c r="E535" t="s">
        <v>7</v>
      </c>
      <c r="F535" t="s">
        <v>9</v>
      </c>
      <c r="G535">
        <v>11250</v>
      </c>
      <c r="H535">
        <v>0</v>
      </c>
      <c r="I535">
        <v>196</v>
      </c>
      <c r="J535">
        <v>360</v>
      </c>
      <c r="L535" t="s">
        <v>4</v>
      </c>
      <c r="M535" t="s">
        <v>41</v>
      </c>
      <c r="N535" s="6">
        <f t="shared" ca="1" si="8"/>
        <v>43578</v>
      </c>
    </row>
    <row r="536" spans="1:14">
      <c r="A536" t="s">
        <v>574</v>
      </c>
      <c r="B536" t="s">
        <v>8</v>
      </c>
      <c r="C536" t="s">
        <v>9</v>
      </c>
      <c r="D536">
        <v>0</v>
      </c>
      <c r="E536" t="s">
        <v>11</v>
      </c>
      <c r="F536" t="s">
        <v>10</v>
      </c>
      <c r="G536">
        <v>18165</v>
      </c>
      <c r="H536">
        <v>0</v>
      </c>
      <c r="I536">
        <v>125</v>
      </c>
      <c r="J536">
        <v>360</v>
      </c>
      <c r="K536">
        <v>1</v>
      </c>
      <c r="L536" t="s">
        <v>5</v>
      </c>
      <c r="M536" t="s">
        <v>39</v>
      </c>
      <c r="N536" s="6">
        <f t="shared" ca="1" si="8"/>
        <v>43527</v>
      </c>
    </row>
    <row r="537" spans="1:14">
      <c r="A537" t="s">
        <v>575</v>
      </c>
      <c r="B537" t="s">
        <v>23</v>
      </c>
      <c r="C537" t="s">
        <v>9</v>
      </c>
      <c r="D537">
        <v>0</v>
      </c>
      <c r="E537" t="s">
        <v>11</v>
      </c>
      <c r="F537" t="s">
        <v>20</v>
      </c>
      <c r="G537">
        <v>2550</v>
      </c>
      <c r="H537">
        <v>2042</v>
      </c>
      <c r="I537">
        <v>126</v>
      </c>
      <c r="J537">
        <v>360</v>
      </c>
      <c r="K537">
        <v>1</v>
      </c>
      <c r="L537" t="s">
        <v>3</v>
      </c>
      <c r="M537" t="s">
        <v>39</v>
      </c>
      <c r="N537" s="6">
        <f t="shared" ca="1" si="8"/>
        <v>43678</v>
      </c>
    </row>
    <row r="538" spans="1:14">
      <c r="A538" t="s">
        <v>576</v>
      </c>
      <c r="B538" t="s">
        <v>23</v>
      </c>
      <c r="C538" t="s">
        <v>10</v>
      </c>
      <c r="D538">
        <v>0</v>
      </c>
      <c r="E538" t="s">
        <v>7</v>
      </c>
      <c r="F538" t="s">
        <v>9</v>
      </c>
      <c r="G538">
        <v>6133</v>
      </c>
      <c r="H538">
        <v>3906</v>
      </c>
      <c r="I538">
        <v>324</v>
      </c>
      <c r="J538">
        <v>360</v>
      </c>
      <c r="K538">
        <v>1</v>
      </c>
      <c r="L538" t="s">
        <v>5</v>
      </c>
      <c r="M538" t="s">
        <v>39</v>
      </c>
      <c r="N538" s="6">
        <f t="shared" ca="1" si="8"/>
        <v>43754</v>
      </c>
    </row>
    <row r="539" spans="1:14">
      <c r="A539" t="s">
        <v>577</v>
      </c>
      <c r="B539" t="s">
        <v>23</v>
      </c>
      <c r="C539" t="s">
        <v>9</v>
      </c>
      <c r="D539">
        <v>2</v>
      </c>
      <c r="E539" t="s">
        <v>7</v>
      </c>
      <c r="F539" t="s">
        <v>9</v>
      </c>
      <c r="G539">
        <v>3617</v>
      </c>
      <c r="H539">
        <v>0</v>
      </c>
      <c r="I539">
        <v>107</v>
      </c>
      <c r="J539">
        <v>360</v>
      </c>
      <c r="K539">
        <v>1</v>
      </c>
      <c r="L539" t="s">
        <v>4</v>
      </c>
      <c r="M539" t="s">
        <v>39</v>
      </c>
      <c r="N539" s="6">
        <f t="shared" ca="1" si="8"/>
        <v>43728</v>
      </c>
    </row>
    <row r="540" spans="1:14">
      <c r="A540" t="s">
        <v>578</v>
      </c>
      <c r="B540" t="s">
        <v>23</v>
      </c>
      <c r="C540" t="s">
        <v>10</v>
      </c>
      <c r="D540">
        <v>0</v>
      </c>
      <c r="E540" t="s">
        <v>11</v>
      </c>
      <c r="F540" t="s">
        <v>9</v>
      </c>
      <c r="G540">
        <v>2917</v>
      </c>
      <c r="H540">
        <v>536</v>
      </c>
      <c r="I540">
        <v>66</v>
      </c>
      <c r="J540">
        <v>360</v>
      </c>
      <c r="K540">
        <v>1</v>
      </c>
      <c r="L540" t="s">
        <v>3</v>
      </c>
      <c r="M540" t="s">
        <v>41</v>
      </c>
      <c r="N540" s="6">
        <f t="shared" ca="1" si="8"/>
        <v>43469</v>
      </c>
    </row>
    <row r="541" spans="1:14">
      <c r="A541" t="s">
        <v>579</v>
      </c>
      <c r="B541" t="s">
        <v>23</v>
      </c>
      <c r="C541" t="s">
        <v>10</v>
      </c>
      <c r="D541">
        <v>3</v>
      </c>
      <c r="E541" t="s">
        <v>7</v>
      </c>
      <c r="F541" t="s">
        <v>9</v>
      </c>
      <c r="G541">
        <v>6417</v>
      </c>
      <c r="H541">
        <v>0</v>
      </c>
      <c r="I541">
        <v>157</v>
      </c>
      <c r="J541">
        <v>180</v>
      </c>
      <c r="K541">
        <v>1</v>
      </c>
      <c r="L541" t="s">
        <v>3</v>
      </c>
      <c r="M541" t="s">
        <v>39</v>
      </c>
      <c r="N541" s="6">
        <f t="shared" ca="1" si="8"/>
        <v>43786</v>
      </c>
    </row>
    <row r="542" spans="1:14">
      <c r="A542" t="s">
        <v>580</v>
      </c>
      <c r="B542" t="s">
        <v>8</v>
      </c>
      <c r="C542" t="s">
        <v>10</v>
      </c>
      <c r="D542">
        <v>1</v>
      </c>
      <c r="E542" t="s">
        <v>7</v>
      </c>
      <c r="F542" t="s">
        <v>9</v>
      </c>
      <c r="G542">
        <v>4608</v>
      </c>
      <c r="H542">
        <v>2845</v>
      </c>
      <c r="I542">
        <v>140</v>
      </c>
      <c r="J542">
        <v>180</v>
      </c>
      <c r="K542">
        <v>1</v>
      </c>
      <c r="L542" t="s">
        <v>4</v>
      </c>
      <c r="M542" t="s">
        <v>39</v>
      </c>
      <c r="N542" s="6">
        <f t="shared" ca="1" si="8"/>
        <v>43771</v>
      </c>
    </row>
    <row r="543" spans="1:14">
      <c r="A543" t="s">
        <v>581</v>
      </c>
      <c r="B543" t="s">
        <v>8</v>
      </c>
      <c r="C543" t="s">
        <v>9</v>
      </c>
      <c r="D543">
        <v>0</v>
      </c>
      <c r="E543" t="s">
        <v>7</v>
      </c>
      <c r="F543" t="s">
        <v>9</v>
      </c>
      <c r="G543">
        <v>2138</v>
      </c>
      <c r="H543">
        <v>0</v>
      </c>
      <c r="I543">
        <v>99</v>
      </c>
      <c r="J543">
        <v>360</v>
      </c>
      <c r="K543">
        <v>0</v>
      </c>
      <c r="L543" t="s">
        <v>4</v>
      </c>
      <c r="M543" t="s">
        <v>41</v>
      </c>
      <c r="N543" s="6">
        <f t="shared" ca="1" si="8"/>
        <v>43678</v>
      </c>
    </row>
    <row r="544" spans="1:14">
      <c r="A544" t="s">
        <v>582</v>
      </c>
      <c r="B544" t="s">
        <v>8</v>
      </c>
      <c r="C544" t="s">
        <v>9</v>
      </c>
      <c r="D544">
        <v>1</v>
      </c>
      <c r="E544" t="s">
        <v>7</v>
      </c>
      <c r="F544" t="s">
        <v>20</v>
      </c>
      <c r="G544">
        <v>3652</v>
      </c>
      <c r="H544">
        <v>0</v>
      </c>
      <c r="I544">
        <v>95</v>
      </c>
      <c r="J544">
        <v>360</v>
      </c>
      <c r="K544">
        <v>1</v>
      </c>
      <c r="L544" t="s">
        <v>4</v>
      </c>
      <c r="M544" t="s">
        <v>39</v>
      </c>
      <c r="N544" s="6">
        <f t="shared" ca="1" si="8"/>
        <v>43623</v>
      </c>
    </row>
    <row r="545" spans="1:14">
      <c r="A545" t="s">
        <v>583</v>
      </c>
      <c r="B545" t="s">
        <v>23</v>
      </c>
      <c r="C545" t="s">
        <v>10</v>
      </c>
      <c r="D545">
        <v>1</v>
      </c>
      <c r="E545" t="s">
        <v>11</v>
      </c>
      <c r="F545" t="s">
        <v>9</v>
      </c>
      <c r="G545">
        <v>2239</v>
      </c>
      <c r="H545">
        <v>2524</v>
      </c>
      <c r="I545">
        <v>128</v>
      </c>
      <c r="J545">
        <v>360</v>
      </c>
      <c r="K545">
        <v>1</v>
      </c>
      <c r="L545" t="s">
        <v>5</v>
      </c>
      <c r="M545" t="s">
        <v>39</v>
      </c>
      <c r="N545" s="6">
        <f t="shared" ca="1" si="8"/>
        <v>43620</v>
      </c>
    </row>
    <row r="546" spans="1:14">
      <c r="A546" t="s">
        <v>584</v>
      </c>
      <c r="B546" t="s">
        <v>8</v>
      </c>
      <c r="C546" t="s">
        <v>10</v>
      </c>
      <c r="D546">
        <v>0</v>
      </c>
      <c r="E546" t="s">
        <v>11</v>
      </c>
      <c r="F546" t="s">
        <v>9</v>
      </c>
      <c r="G546">
        <v>3017</v>
      </c>
      <c r="H546">
        <v>663</v>
      </c>
      <c r="I546">
        <v>102</v>
      </c>
      <c r="J546">
        <v>360</v>
      </c>
      <c r="L546" t="s">
        <v>4</v>
      </c>
      <c r="M546" t="s">
        <v>39</v>
      </c>
      <c r="N546" s="6">
        <f t="shared" ca="1" si="8"/>
        <v>43734</v>
      </c>
    </row>
    <row r="547" spans="1:14">
      <c r="A547" t="s">
        <v>585</v>
      </c>
      <c r="B547" t="s">
        <v>23</v>
      </c>
      <c r="C547" t="s">
        <v>10</v>
      </c>
      <c r="D547">
        <v>0</v>
      </c>
      <c r="E547" t="s">
        <v>7</v>
      </c>
      <c r="F547" t="s">
        <v>9</v>
      </c>
      <c r="G547">
        <v>2768</v>
      </c>
      <c r="H547">
        <v>1950</v>
      </c>
      <c r="I547">
        <v>155</v>
      </c>
      <c r="J547">
        <v>360</v>
      </c>
      <c r="K547">
        <v>1</v>
      </c>
      <c r="L547" t="s">
        <v>3</v>
      </c>
      <c r="M547" t="s">
        <v>39</v>
      </c>
      <c r="N547" s="6">
        <f t="shared" ca="1" si="8"/>
        <v>43551</v>
      </c>
    </row>
    <row r="548" spans="1:14">
      <c r="A548" t="s">
        <v>586</v>
      </c>
      <c r="B548" t="s">
        <v>23</v>
      </c>
      <c r="C548" t="s">
        <v>9</v>
      </c>
      <c r="D548">
        <v>0</v>
      </c>
      <c r="E548" t="s">
        <v>11</v>
      </c>
      <c r="F548" t="s">
        <v>9</v>
      </c>
      <c r="G548">
        <v>3358</v>
      </c>
      <c r="H548">
        <v>0</v>
      </c>
      <c r="I548">
        <v>80</v>
      </c>
      <c r="J548">
        <v>36</v>
      </c>
      <c r="K548">
        <v>1</v>
      </c>
      <c r="L548" t="s">
        <v>4</v>
      </c>
      <c r="M548" t="s">
        <v>41</v>
      </c>
      <c r="N548" s="6">
        <f t="shared" ca="1" si="8"/>
        <v>43709</v>
      </c>
    </row>
    <row r="549" spans="1:14">
      <c r="A549" t="s">
        <v>587</v>
      </c>
      <c r="B549" t="s">
        <v>23</v>
      </c>
      <c r="C549" t="s">
        <v>9</v>
      </c>
      <c r="D549">
        <v>0</v>
      </c>
      <c r="E549" t="s">
        <v>7</v>
      </c>
      <c r="F549" t="s">
        <v>9</v>
      </c>
      <c r="G549">
        <v>2526</v>
      </c>
      <c r="H549">
        <v>1783</v>
      </c>
      <c r="I549">
        <v>145</v>
      </c>
      <c r="J549">
        <v>360</v>
      </c>
      <c r="K549">
        <v>1</v>
      </c>
      <c r="L549" t="s">
        <v>3</v>
      </c>
      <c r="M549" t="s">
        <v>39</v>
      </c>
      <c r="N549" s="6">
        <f t="shared" ca="1" si="8"/>
        <v>43785</v>
      </c>
    </row>
    <row r="550" spans="1:14">
      <c r="A550" t="s">
        <v>588</v>
      </c>
      <c r="B550" t="s">
        <v>8</v>
      </c>
      <c r="C550" t="s">
        <v>9</v>
      </c>
      <c r="D550">
        <v>0</v>
      </c>
      <c r="E550" t="s">
        <v>7</v>
      </c>
      <c r="F550" t="s">
        <v>9</v>
      </c>
      <c r="G550">
        <v>5000</v>
      </c>
      <c r="H550">
        <v>0</v>
      </c>
      <c r="I550">
        <v>103</v>
      </c>
      <c r="J550">
        <v>360</v>
      </c>
      <c r="K550">
        <v>0</v>
      </c>
      <c r="L550" t="s">
        <v>4</v>
      </c>
      <c r="M550" t="s">
        <v>41</v>
      </c>
      <c r="N550" s="6">
        <f t="shared" ca="1" si="8"/>
        <v>43779</v>
      </c>
    </row>
    <row r="551" spans="1:14">
      <c r="A551" t="s">
        <v>589</v>
      </c>
      <c r="B551" t="s">
        <v>23</v>
      </c>
      <c r="C551" t="s">
        <v>10</v>
      </c>
      <c r="D551">
        <v>0</v>
      </c>
      <c r="E551" t="s">
        <v>7</v>
      </c>
      <c r="F551" t="s">
        <v>9</v>
      </c>
      <c r="G551">
        <v>2785</v>
      </c>
      <c r="H551">
        <v>2016</v>
      </c>
      <c r="I551">
        <v>110</v>
      </c>
      <c r="J551">
        <v>360</v>
      </c>
      <c r="K551">
        <v>1</v>
      </c>
      <c r="L551" t="s">
        <v>3</v>
      </c>
      <c r="M551" t="s">
        <v>39</v>
      </c>
      <c r="N551" s="6">
        <f t="shared" ca="1" si="8"/>
        <v>43563</v>
      </c>
    </row>
    <row r="552" spans="1:14">
      <c r="A552" t="s">
        <v>590</v>
      </c>
      <c r="B552" t="s">
        <v>23</v>
      </c>
      <c r="C552" t="s">
        <v>10</v>
      </c>
      <c r="D552">
        <v>2</v>
      </c>
      <c r="E552" t="s">
        <v>7</v>
      </c>
      <c r="F552" t="s">
        <v>10</v>
      </c>
      <c r="G552">
        <v>6633</v>
      </c>
      <c r="H552">
        <v>0</v>
      </c>
      <c r="J552">
        <v>360</v>
      </c>
      <c r="K552">
        <v>0</v>
      </c>
      <c r="L552" t="s">
        <v>3</v>
      </c>
      <c r="M552" t="s">
        <v>41</v>
      </c>
      <c r="N552" s="6">
        <f t="shared" ca="1" si="8"/>
        <v>43507</v>
      </c>
    </row>
    <row r="553" spans="1:14">
      <c r="A553" t="s">
        <v>591</v>
      </c>
      <c r="B553" t="s">
        <v>23</v>
      </c>
      <c r="C553" t="s">
        <v>10</v>
      </c>
      <c r="D553">
        <v>1</v>
      </c>
      <c r="E553" t="s">
        <v>11</v>
      </c>
      <c r="F553" t="s">
        <v>9</v>
      </c>
      <c r="G553">
        <v>2492</v>
      </c>
      <c r="H553">
        <v>2375</v>
      </c>
      <c r="J553">
        <v>360</v>
      </c>
      <c r="K553">
        <v>1</v>
      </c>
      <c r="L553" t="s">
        <v>3</v>
      </c>
      <c r="M553" t="s">
        <v>39</v>
      </c>
      <c r="N553" s="6">
        <f t="shared" ca="1" si="8"/>
        <v>43509</v>
      </c>
    </row>
    <row r="554" spans="1:14">
      <c r="A554" t="s">
        <v>592</v>
      </c>
      <c r="B554" t="s">
        <v>23</v>
      </c>
      <c r="C554" t="s">
        <v>10</v>
      </c>
      <c r="D554">
        <v>1</v>
      </c>
      <c r="E554" t="s">
        <v>7</v>
      </c>
      <c r="F554" t="s">
        <v>9</v>
      </c>
      <c r="G554">
        <v>3333</v>
      </c>
      <c r="H554">
        <v>3250</v>
      </c>
      <c r="I554">
        <v>158</v>
      </c>
      <c r="J554">
        <v>360</v>
      </c>
      <c r="K554">
        <v>1</v>
      </c>
      <c r="L554" t="s">
        <v>5</v>
      </c>
      <c r="M554" t="s">
        <v>39</v>
      </c>
      <c r="N554" s="6">
        <f t="shared" ca="1" si="8"/>
        <v>43567</v>
      </c>
    </row>
    <row r="555" spans="1:14">
      <c r="A555" t="s">
        <v>593</v>
      </c>
      <c r="B555" t="s">
        <v>23</v>
      </c>
      <c r="C555" t="s">
        <v>10</v>
      </c>
      <c r="D555">
        <v>0</v>
      </c>
      <c r="E555" t="s">
        <v>11</v>
      </c>
      <c r="F555" t="s">
        <v>9</v>
      </c>
      <c r="G555">
        <v>2454</v>
      </c>
      <c r="H555">
        <v>2333</v>
      </c>
      <c r="I555">
        <v>181</v>
      </c>
      <c r="J555">
        <v>360</v>
      </c>
      <c r="K555">
        <v>0</v>
      </c>
      <c r="L555" t="s">
        <v>5</v>
      </c>
      <c r="M555" t="s">
        <v>41</v>
      </c>
      <c r="N555" s="6">
        <f t="shared" ca="1" si="8"/>
        <v>43564</v>
      </c>
    </row>
    <row r="556" spans="1:14">
      <c r="A556" t="s">
        <v>594</v>
      </c>
      <c r="B556" t="s">
        <v>23</v>
      </c>
      <c r="C556" t="s">
        <v>10</v>
      </c>
      <c r="D556">
        <v>0</v>
      </c>
      <c r="E556" t="s">
        <v>7</v>
      </c>
      <c r="F556" t="s">
        <v>9</v>
      </c>
      <c r="G556">
        <v>3593</v>
      </c>
      <c r="H556">
        <v>4266</v>
      </c>
      <c r="I556">
        <v>132</v>
      </c>
      <c r="J556">
        <v>180</v>
      </c>
      <c r="K556">
        <v>0</v>
      </c>
      <c r="L556" t="s">
        <v>3</v>
      </c>
      <c r="M556" t="s">
        <v>41</v>
      </c>
      <c r="N556" s="6">
        <f t="shared" ca="1" si="8"/>
        <v>43509</v>
      </c>
    </row>
    <row r="557" spans="1:14">
      <c r="A557" t="s">
        <v>595</v>
      </c>
      <c r="B557" t="s">
        <v>23</v>
      </c>
      <c r="C557" t="s">
        <v>10</v>
      </c>
      <c r="D557">
        <v>1</v>
      </c>
      <c r="E557" t="s">
        <v>7</v>
      </c>
      <c r="F557" t="s">
        <v>9</v>
      </c>
      <c r="G557">
        <v>5468</v>
      </c>
      <c r="H557">
        <v>1032</v>
      </c>
      <c r="I557">
        <v>26</v>
      </c>
      <c r="J557">
        <v>360</v>
      </c>
      <c r="K557">
        <v>1</v>
      </c>
      <c r="L557" t="s">
        <v>4</v>
      </c>
      <c r="M557" t="s">
        <v>39</v>
      </c>
      <c r="N557" s="6">
        <f t="shared" ca="1" si="8"/>
        <v>43607</v>
      </c>
    </row>
    <row r="558" spans="1:14">
      <c r="A558" t="s">
        <v>596</v>
      </c>
      <c r="B558" t="s">
        <v>8</v>
      </c>
      <c r="C558" t="s">
        <v>9</v>
      </c>
      <c r="D558">
        <v>0</v>
      </c>
      <c r="E558" t="s">
        <v>7</v>
      </c>
      <c r="F558" t="s">
        <v>9</v>
      </c>
      <c r="G558">
        <v>2667</v>
      </c>
      <c r="H558">
        <v>1625</v>
      </c>
      <c r="I558">
        <v>84</v>
      </c>
      <c r="J558">
        <v>360</v>
      </c>
      <c r="L558" t="s">
        <v>5</v>
      </c>
      <c r="M558" t="s">
        <v>39</v>
      </c>
      <c r="N558" s="6">
        <f t="shared" ca="1" si="8"/>
        <v>43630</v>
      </c>
    </row>
    <row r="559" spans="1:14">
      <c r="A559" t="s">
        <v>597</v>
      </c>
      <c r="B559" t="s">
        <v>23</v>
      </c>
      <c r="C559" t="s">
        <v>10</v>
      </c>
      <c r="D559">
        <v>3</v>
      </c>
      <c r="E559" t="s">
        <v>7</v>
      </c>
      <c r="F559" t="s">
        <v>10</v>
      </c>
      <c r="G559">
        <v>10139</v>
      </c>
      <c r="H559">
        <v>0</v>
      </c>
      <c r="I559">
        <v>260</v>
      </c>
      <c r="J559">
        <v>360</v>
      </c>
      <c r="K559">
        <v>1</v>
      </c>
      <c r="L559" t="s">
        <v>4</v>
      </c>
      <c r="M559" t="s">
        <v>39</v>
      </c>
      <c r="N559" s="6">
        <f t="shared" ca="1" si="8"/>
        <v>43469</v>
      </c>
    </row>
    <row r="560" spans="1:14">
      <c r="A560" t="s">
        <v>598</v>
      </c>
      <c r="B560" t="s">
        <v>23</v>
      </c>
      <c r="C560" t="s">
        <v>10</v>
      </c>
      <c r="D560">
        <v>0</v>
      </c>
      <c r="E560" t="s">
        <v>7</v>
      </c>
      <c r="F560" t="s">
        <v>9</v>
      </c>
      <c r="G560">
        <v>3887</v>
      </c>
      <c r="H560">
        <v>2669</v>
      </c>
      <c r="I560">
        <v>162</v>
      </c>
      <c r="J560">
        <v>360</v>
      </c>
      <c r="K560">
        <v>1</v>
      </c>
      <c r="L560" t="s">
        <v>4</v>
      </c>
      <c r="M560" t="s">
        <v>39</v>
      </c>
      <c r="N560" s="6">
        <f t="shared" ca="1" si="8"/>
        <v>43643</v>
      </c>
    </row>
    <row r="561" spans="1:14">
      <c r="A561" t="s">
        <v>599</v>
      </c>
      <c r="B561" t="s">
        <v>8</v>
      </c>
      <c r="C561" t="s">
        <v>10</v>
      </c>
      <c r="D561">
        <v>0</v>
      </c>
      <c r="E561" t="s">
        <v>7</v>
      </c>
      <c r="F561" t="s">
        <v>9</v>
      </c>
      <c r="G561">
        <v>4180</v>
      </c>
      <c r="H561">
        <v>2306</v>
      </c>
      <c r="I561">
        <v>182</v>
      </c>
      <c r="J561">
        <v>360</v>
      </c>
      <c r="K561">
        <v>1</v>
      </c>
      <c r="L561" t="s">
        <v>4</v>
      </c>
      <c r="M561" t="s">
        <v>39</v>
      </c>
      <c r="N561" s="6">
        <f t="shared" ca="1" si="8"/>
        <v>43606</v>
      </c>
    </row>
    <row r="562" spans="1:14">
      <c r="A562" t="s">
        <v>600</v>
      </c>
      <c r="B562" t="s">
        <v>23</v>
      </c>
      <c r="C562" t="s">
        <v>10</v>
      </c>
      <c r="D562">
        <v>2</v>
      </c>
      <c r="E562" t="s">
        <v>11</v>
      </c>
      <c r="F562" t="s">
        <v>9</v>
      </c>
      <c r="G562">
        <v>3675</v>
      </c>
      <c r="H562">
        <v>242</v>
      </c>
      <c r="I562">
        <v>108</v>
      </c>
      <c r="J562">
        <v>360</v>
      </c>
      <c r="K562">
        <v>1</v>
      </c>
      <c r="L562" t="s">
        <v>4</v>
      </c>
      <c r="M562" t="s">
        <v>39</v>
      </c>
      <c r="N562" s="6">
        <f t="shared" ca="1" si="8"/>
        <v>43810</v>
      </c>
    </row>
    <row r="563" spans="1:14">
      <c r="A563" t="s">
        <v>601</v>
      </c>
      <c r="B563" t="s">
        <v>8</v>
      </c>
      <c r="C563" t="s">
        <v>10</v>
      </c>
      <c r="D563">
        <v>1</v>
      </c>
      <c r="E563" t="s">
        <v>7</v>
      </c>
      <c r="F563" t="s">
        <v>10</v>
      </c>
      <c r="G563">
        <v>19484</v>
      </c>
      <c r="H563">
        <v>0</v>
      </c>
      <c r="I563">
        <v>600</v>
      </c>
      <c r="J563">
        <v>360</v>
      </c>
      <c r="K563">
        <v>1</v>
      </c>
      <c r="L563" t="s">
        <v>4</v>
      </c>
      <c r="M563" t="s">
        <v>39</v>
      </c>
      <c r="N563" s="6">
        <f t="shared" ca="1" si="8"/>
        <v>43523</v>
      </c>
    </row>
    <row r="564" spans="1:14">
      <c r="A564" t="s">
        <v>602</v>
      </c>
      <c r="B564" t="s">
        <v>23</v>
      </c>
      <c r="C564" t="s">
        <v>10</v>
      </c>
      <c r="D564">
        <v>0</v>
      </c>
      <c r="E564" t="s">
        <v>7</v>
      </c>
      <c r="F564" t="s">
        <v>9</v>
      </c>
      <c r="G564">
        <v>5923</v>
      </c>
      <c r="H564">
        <v>2054</v>
      </c>
      <c r="I564">
        <v>211</v>
      </c>
      <c r="J564">
        <v>360</v>
      </c>
      <c r="K564">
        <v>1</v>
      </c>
      <c r="L564" t="s">
        <v>3</v>
      </c>
      <c r="M564" t="s">
        <v>39</v>
      </c>
      <c r="N564" s="6">
        <f t="shared" ca="1" si="8"/>
        <v>43724</v>
      </c>
    </row>
    <row r="565" spans="1:14">
      <c r="A565" t="s">
        <v>603</v>
      </c>
      <c r="B565" t="s">
        <v>23</v>
      </c>
      <c r="C565" t="s">
        <v>9</v>
      </c>
      <c r="D565">
        <v>0</v>
      </c>
      <c r="E565" t="s">
        <v>11</v>
      </c>
      <c r="F565" t="s">
        <v>10</v>
      </c>
      <c r="G565">
        <v>5800</v>
      </c>
      <c r="H565">
        <v>0</v>
      </c>
      <c r="I565">
        <v>132</v>
      </c>
      <c r="J565">
        <v>360</v>
      </c>
      <c r="K565">
        <v>1</v>
      </c>
      <c r="L565" t="s">
        <v>4</v>
      </c>
      <c r="M565" t="s">
        <v>39</v>
      </c>
      <c r="N565" s="6">
        <f t="shared" ca="1" si="8"/>
        <v>43481</v>
      </c>
    </row>
    <row r="566" spans="1:14">
      <c r="A566" t="s">
        <v>604</v>
      </c>
      <c r="B566" t="s">
        <v>23</v>
      </c>
      <c r="C566" t="s">
        <v>10</v>
      </c>
      <c r="D566">
        <v>2</v>
      </c>
      <c r="E566" t="s">
        <v>7</v>
      </c>
      <c r="F566" t="s">
        <v>9</v>
      </c>
      <c r="G566">
        <v>8799</v>
      </c>
      <c r="H566">
        <v>0</v>
      </c>
      <c r="I566">
        <v>258</v>
      </c>
      <c r="J566">
        <v>360</v>
      </c>
      <c r="K566">
        <v>0</v>
      </c>
      <c r="L566" t="s">
        <v>5</v>
      </c>
      <c r="M566" t="s">
        <v>41</v>
      </c>
      <c r="N566" s="6">
        <f t="shared" ca="1" si="8"/>
        <v>43489</v>
      </c>
    </row>
    <row r="567" spans="1:14">
      <c r="A567" t="s">
        <v>605</v>
      </c>
      <c r="B567" t="s">
        <v>23</v>
      </c>
      <c r="C567" t="s">
        <v>10</v>
      </c>
      <c r="D567">
        <v>0</v>
      </c>
      <c r="E567" t="s">
        <v>11</v>
      </c>
      <c r="F567" t="s">
        <v>9</v>
      </c>
      <c r="G567">
        <v>4467</v>
      </c>
      <c r="H567">
        <v>0</v>
      </c>
      <c r="I567">
        <v>120</v>
      </c>
      <c r="J567">
        <v>360</v>
      </c>
      <c r="L567" t="s">
        <v>3</v>
      </c>
      <c r="M567" t="s">
        <v>39</v>
      </c>
      <c r="N567" s="6">
        <f t="shared" ca="1" si="8"/>
        <v>43671</v>
      </c>
    </row>
    <row r="568" spans="1:14">
      <c r="A568" t="s">
        <v>606</v>
      </c>
      <c r="B568" t="s">
        <v>23</v>
      </c>
      <c r="C568" t="s">
        <v>9</v>
      </c>
      <c r="D568">
        <v>0</v>
      </c>
      <c r="E568" t="s">
        <v>7</v>
      </c>
      <c r="F568" t="s">
        <v>9</v>
      </c>
      <c r="G568">
        <v>3333</v>
      </c>
      <c r="H568">
        <v>0</v>
      </c>
      <c r="I568">
        <v>70</v>
      </c>
      <c r="J568">
        <v>360</v>
      </c>
      <c r="K568">
        <v>1</v>
      </c>
      <c r="L568" t="s">
        <v>5</v>
      </c>
      <c r="M568" t="s">
        <v>39</v>
      </c>
      <c r="N568" s="6">
        <f t="shared" ca="1" si="8"/>
        <v>43791</v>
      </c>
    </row>
    <row r="569" spans="1:14">
      <c r="A569" t="s">
        <v>607</v>
      </c>
      <c r="B569" t="s">
        <v>23</v>
      </c>
      <c r="C569" t="s">
        <v>10</v>
      </c>
      <c r="D569">
        <v>3</v>
      </c>
      <c r="E569" t="s">
        <v>7</v>
      </c>
      <c r="F569" t="s">
        <v>9</v>
      </c>
      <c r="G569">
        <v>3400</v>
      </c>
      <c r="H569">
        <v>2500</v>
      </c>
      <c r="I569">
        <v>123</v>
      </c>
      <c r="J569">
        <v>360</v>
      </c>
      <c r="K569">
        <v>0</v>
      </c>
      <c r="L569" t="s">
        <v>3</v>
      </c>
      <c r="M569" t="s">
        <v>41</v>
      </c>
      <c r="N569" s="6">
        <f t="shared" ca="1" si="8"/>
        <v>43763</v>
      </c>
    </row>
    <row r="570" spans="1:14">
      <c r="A570" t="s">
        <v>608</v>
      </c>
      <c r="B570" t="s">
        <v>8</v>
      </c>
      <c r="C570" t="s">
        <v>9</v>
      </c>
      <c r="D570">
        <v>0</v>
      </c>
      <c r="E570" t="s">
        <v>7</v>
      </c>
      <c r="F570" t="s">
        <v>9</v>
      </c>
      <c r="G570">
        <v>2378</v>
      </c>
      <c r="H570">
        <v>0</v>
      </c>
      <c r="I570">
        <v>9</v>
      </c>
      <c r="J570">
        <v>360</v>
      </c>
      <c r="K570">
        <v>1</v>
      </c>
      <c r="L570" t="s">
        <v>5</v>
      </c>
      <c r="M570" t="s">
        <v>41</v>
      </c>
      <c r="N570" s="6">
        <f t="shared" ca="1" si="8"/>
        <v>43802</v>
      </c>
    </row>
    <row r="571" spans="1:14">
      <c r="A571" t="s">
        <v>609</v>
      </c>
      <c r="B571" t="s">
        <v>23</v>
      </c>
      <c r="C571" t="s">
        <v>10</v>
      </c>
      <c r="D571">
        <v>0</v>
      </c>
      <c r="E571" t="s">
        <v>7</v>
      </c>
      <c r="F571" t="s">
        <v>9</v>
      </c>
      <c r="G571">
        <v>3166</v>
      </c>
      <c r="H571">
        <v>2064</v>
      </c>
      <c r="I571">
        <v>104</v>
      </c>
      <c r="J571">
        <v>360</v>
      </c>
      <c r="K571">
        <v>0</v>
      </c>
      <c r="L571" t="s">
        <v>5</v>
      </c>
      <c r="M571" t="s">
        <v>41</v>
      </c>
      <c r="N571" s="6">
        <f t="shared" ca="1" si="8"/>
        <v>43486</v>
      </c>
    </row>
    <row r="572" spans="1:14">
      <c r="A572" t="s">
        <v>610</v>
      </c>
      <c r="B572" t="s">
        <v>23</v>
      </c>
      <c r="C572" t="s">
        <v>10</v>
      </c>
      <c r="D572">
        <v>1</v>
      </c>
      <c r="E572" t="s">
        <v>7</v>
      </c>
      <c r="F572" t="s">
        <v>9</v>
      </c>
      <c r="G572">
        <v>3417</v>
      </c>
      <c r="H572">
        <v>1750</v>
      </c>
      <c r="I572">
        <v>186</v>
      </c>
      <c r="J572">
        <v>360</v>
      </c>
      <c r="K572">
        <v>1</v>
      </c>
      <c r="L572" t="s">
        <v>5</v>
      </c>
      <c r="M572" t="s">
        <v>39</v>
      </c>
      <c r="N572" s="6">
        <f t="shared" ca="1" si="8"/>
        <v>43620</v>
      </c>
    </row>
    <row r="573" spans="1:14">
      <c r="A573" t="s">
        <v>611</v>
      </c>
      <c r="B573" t="s">
        <v>23</v>
      </c>
      <c r="C573" t="s">
        <v>10</v>
      </c>
      <c r="E573" t="s">
        <v>7</v>
      </c>
      <c r="F573" t="s">
        <v>9</v>
      </c>
      <c r="G573">
        <v>5116</v>
      </c>
      <c r="H573">
        <v>1451</v>
      </c>
      <c r="I573">
        <v>165</v>
      </c>
      <c r="J573">
        <v>360</v>
      </c>
      <c r="K573">
        <v>0</v>
      </c>
      <c r="L573" t="s">
        <v>5</v>
      </c>
      <c r="M573" t="s">
        <v>41</v>
      </c>
      <c r="N573" s="6">
        <f t="shared" ca="1" si="8"/>
        <v>43495</v>
      </c>
    </row>
    <row r="574" spans="1:14">
      <c r="A574" t="s">
        <v>612</v>
      </c>
      <c r="B574" t="s">
        <v>23</v>
      </c>
      <c r="C574" t="s">
        <v>10</v>
      </c>
      <c r="D574">
        <v>2</v>
      </c>
      <c r="E574" t="s">
        <v>7</v>
      </c>
      <c r="F574" t="s">
        <v>9</v>
      </c>
      <c r="G574">
        <v>16666</v>
      </c>
      <c r="H574">
        <v>0</v>
      </c>
      <c r="I574">
        <v>275</v>
      </c>
      <c r="J574">
        <v>360</v>
      </c>
      <c r="K574">
        <v>1</v>
      </c>
      <c r="L574" t="s">
        <v>5</v>
      </c>
      <c r="M574" t="s">
        <v>39</v>
      </c>
      <c r="N574" s="6">
        <f t="shared" ca="1" si="8"/>
        <v>43821</v>
      </c>
    </row>
    <row r="575" spans="1:14">
      <c r="A575" t="s">
        <v>613</v>
      </c>
      <c r="B575" t="s">
        <v>23</v>
      </c>
      <c r="C575" t="s">
        <v>10</v>
      </c>
      <c r="D575">
        <v>2</v>
      </c>
      <c r="E575" t="s">
        <v>11</v>
      </c>
      <c r="F575" t="s">
        <v>9</v>
      </c>
      <c r="G575">
        <v>6125</v>
      </c>
      <c r="H575">
        <v>1625</v>
      </c>
      <c r="I575">
        <v>187</v>
      </c>
      <c r="J575">
        <v>480</v>
      </c>
      <c r="K575">
        <v>1</v>
      </c>
      <c r="L575" t="s">
        <v>4</v>
      </c>
      <c r="M575" t="s">
        <v>41</v>
      </c>
      <c r="N575" s="6">
        <f t="shared" ca="1" si="8"/>
        <v>43552</v>
      </c>
    </row>
    <row r="576" spans="1:14">
      <c r="A576" t="s">
        <v>614</v>
      </c>
      <c r="B576" t="s">
        <v>23</v>
      </c>
      <c r="C576" t="s">
        <v>10</v>
      </c>
      <c r="D576">
        <v>3</v>
      </c>
      <c r="E576" t="s">
        <v>7</v>
      </c>
      <c r="F576" t="s">
        <v>9</v>
      </c>
      <c r="G576">
        <v>6406</v>
      </c>
      <c r="H576">
        <v>0</v>
      </c>
      <c r="I576">
        <v>150</v>
      </c>
      <c r="J576">
        <v>360</v>
      </c>
      <c r="K576">
        <v>1</v>
      </c>
      <c r="L576" t="s">
        <v>4</v>
      </c>
      <c r="M576" t="s">
        <v>41</v>
      </c>
      <c r="N576" s="6">
        <f t="shared" ca="1" si="8"/>
        <v>43731</v>
      </c>
    </row>
    <row r="577" spans="1:14">
      <c r="A577" t="s">
        <v>615</v>
      </c>
      <c r="B577" t="s">
        <v>23</v>
      </c>
      <c r="C577" t="s">
        <v>10</v>
      </c>
      <c r="D577">
        <v>2</v>
      </c>
      <c r="E577" t="s">
        <v>7</v>
      </c>
      <c r="F577" t="s">
        <v>9</v>
      </c>
      <c r="G577">
        <v>3159</v>
      </c>
      <c r="H577">
        <v>461</v>
      </c>
      <c r="I577">
        <v>108</v>
      </c>
      <c r="J577">
        <v>84</v>
      </c>
      <c r="K577">
        <v>1</v>
      </c>
      <c r="L577" t="s">
        <v>5</v>
      </c>
      <c r="M577" t="s">
        <v>39</v>
      </c>
      <c r="N577" s="6">
        <f t="shared" ca="1" si="8"/>
        <v>43589</v>
      </c>
    </row>
    <row r="578" spans="1:14">
      <c r="A578" t="s">
        <v>616</v>
      </c>
      <c r="B578" t="s">
        <v>20</v>
      </c>
      <c r="C578" t="s">
        <v>10</v>
      </c>
      <c r="D578">
        <v>0</v>
      </c>
      <c r="E578" t="s">
        <v>7</v>
      </c>
      <c r="F578" t="s">
        <v>9</v>
      </c>
      <c r="G578">
        <v>3087</v>
      </c>
      <c r="H578">
        <v>2210</v>
      </c>
      <c r="I578">
        <v>136</v>
      </c>
      <c r="J578">
        <v>360</v>
      </c>
      <c r="K578">
        <v>0</v>
      </c>
      <c r="L578" t="s">
        <v>4</v>
      </c>
      <c r="M578" t="s">
        <v>41</v>
      </c>
      <c r="N578" s="6">
        <f t="shared" ref="N578:N615" ca="1" si="9">RANDBETWEEN(DATE(2019,1,1),DATE(2019,12,31))</f>
        <v>43542</v>
      </c>
    </row>
    <row r="579" spans="1:14">
      <c r="A579" t="s">
        <v>617</v>
      </c>
      <c r="B579" t="s">
        <v>23</v>
      </c>
      <c r="C579" t="s">
        <v>9</v>
      </c>
      <c r="D579">
        <v>0</v>
      </c>
      <c r="E579" t="s">
        <v>7</v>
      </c>
      <c r="F579" t="s">
        <v>9</v>
      </c>
      <c r="G579">
        <v>3229</v>
      </c>
      <c r="H579">
        <v>2739</v>
      </c>
      <c r="I579">
        <v>110</v>
      </c>
      <c r="J579">
        <v>360</v>
      </c>
      <c r="K579">
        <v>1</v>
      </c>
      <c r="L579" t="s">
        <v>5</v>
      </c>
      <c r="M579" t="s">
        <v>39</v>
      </c>
      <c r="N579" s="6">
        <f t="shared" ca="1" si="9"/>
        <v>43638</v>
      </c>
    </row>
    <row r="580" spans="1:14">
      <c r="A580" t="s">
        <v>618</v>
      </c>
      <c r="B580" t="s">
        <v>23</v>
      </c>
      <c r="C580" t="s">
        <v>10</v>
      </c>
      <c r="D580">
        <v>1</v>
      </c>
      <c r="E580" t="s">
        <v>7</v>
      </c>
      <c r="F580" t="s">
        <v>9</v>
      </c>
      <c r="G580">
        <v>1782</v>
      </c>
      <c r="H580">
        <v>2232</v>
      </c>
      <c r="I580">
        <v>107</v>
      </c>
      <c r="J580">
        <v>360</v>
      </c>
      <c r="K580">
        <v>1</v>
      </c>
      <c r="L580" t="s">
        <v>3</v>
      </c>
      <c r="M580" t="s">
        <v>39</v>
      </c>
      <c r="N580" s="6">
        <f t="shared" ca="1" si="9"/>
        <v>43686</v>
      </c>
    </row>
    <row r="581" spans="1:14">
      <c r="A581" t="s">
        <v>619</v>
      </c>
      <c r="B581" t="s">
        <v>23</v>
      </c>
      <c r="C581" t="s">
        <v>9</v>
      </c>
      <c r="D581">
        <v>0</v>
      </c>
      <c r="E581" t="s">
        <v>7</v>
      </c>
      <c r="F581" t="s">
        <v>20</v>
      </c>
      <c r="G581">
        <v>3182</v>
      </c>
      <c r="H581">
        <v>2917</v>
      </c>
      <c r="I581">
        <v>161</v>
      </c>
      <c r="J581">
        <v>360</v>
      </c>
      <c r="K581">
        <v>1</v>
      </c>
      <c r="L581" t="s">
        <v>5</v>
      </c>
      <c r="M581" t="s">
        <v>39</v>
      </c>
      <c r="N581" s="6">
        <f t="shared" ca="1" si="9"/>
        <v>43757</v>
      </c>
    </row>
    <row r="582" spans="1:14">
      <c r="A582" t="s">
        <v>620</v>
      </c>
      <c r="B582" t="s">
        <v>23</v>
      </c>
      <c r="C582" t="s">
        <v>10</v>
      </c>
      <c r="D582">
        <v>2</v>
      </c>
      <c r="E582" t="s">
        <v>7</v>
      </c>
      <c r="F582" t="s">
        <v>9</v>
      </c>
      <c r="G582">
        <v>6540</v>
      </c>
      <c r="H582">
        <v>0</v>
      </c>
      <c r="I582">
        <v>205</v>
      </c>
      <c r="J582">
        <v>360</v>
      </c>
      <c r="K582">
        <v>1</v>
      </c>
      <c r="L582" t="s">
        <v>4</v>
      </c>
      <c r="M582" t="s">
        <v>39</v>
      </c>
      <c r="N582" s="6">
        <f t="shared" ca="1" si="9"/>
        <v>43677</v>
      </c>
    </row>
    <row r="583" spans="1:14">
      <c r="A583" t="s">
        <v>621</v>
      </c>
      <c r="B583" t="s">
        <v>23</v>
      </c>
      <c r="C583" t="s">
        <v>9</v>
      </c>
      <c r="D583">
        <v>0</v>
      </c>
      <c r="E583" t="s">
        <v>7</v>
      </c>
      <c r="F583" t="s">
        <v>9</v>
      </c>
      <c r="G583">
        <v>1836</v>
      </c>
      <c r="H583">
        <v>33837</v>
      </c>
      <c r="I583">
        <v>90</v>
      </c>
      <c r="J583">
        <v>360</v>
      </c>
      <c r="K583">
        <v>1</v>
      </c>
      <c r="L583" t="s">
        <v>5</v>
      </c>
      <c r="M583" t="s">
        <v>41</v>
      </c>
      <c r="N583" s="6">
        <f t="shared" ca="1" si="9"/>
        <v>43770</v>
      </c>
    </row>
    <row r="584" spans="1:14">
      <c r="A584" t="s">
        <v>622</v>
      </c>
      <c r="B584" t="s">
        <v>8</v>
      </c>
      <c r="C584" t="s">
        <v>10</v>
      </c>
      <c r="D584">
        <v>0</v>
      </c>
      <c r="E584" t="s">
        <v>7</v>
      </c>
      <c r="F584" t="s">
        <v>9</v>
      </c>
      <c r="G584">
        <v>3166</v>
      </c>
      <c r="H584">
        <v>0</v>
      </c>
      <c r="I584">
        <v>36</v>
      </c>
      <c r="J584">
        <v>360</v>
      </c>
      <c r="K584">
        <v>1</v>
      </c>
      <c r="L584" t="s">
        <v>4</v>
      </c>
      <c r="M584" t="s">
        <v>39</v>
      </c>
      <c r="N584" s="6">
        <f t="shared" ca="1" si="9"/>
        <v>43631</v>
      </c>
    </row>
    <row r="585" spans="1:14">
      <c r="A585" t="s">
        <v>623</v>
      </c>
      <c r="B585" t="s">
        <v>23</v>
      </c>
      <c r="C585" t="s">
        <v>10</v>
      </c>
      <c r="D585">
        <v>1</v>
      </c>
      <c r="E585" t="s">
        <v>7</v>
      </c>
      <c r="F585" t="s">
        <v>9</v>
      </c>
      <c r="G585">
        <v>1880</v>
      </c>
      <c r="H585">
        <v>0</v>
      </c>
      <c r="I585">
        <v>61</v>
      </c>
      <c r="J585">
        <v>360</v>
      </c>
      <c r="L585" t="s">
        <v>3</v>
      </c>
      <c r="M585" t="s">
        <v>41</v>
      </c>
      <c r="N585" s="6">
        <f t="shared" ca="1" si="9"/>
        <v>43711</v>
      </c>
    </row>
    <row r="586" spans="1:14">
      <c r="A586" t="s">
        <v>624</v>
      </c>
      <c r="B586" t="s">
        <v>23</v>
      </c>
      <c r="C586" t="s">
        <v>10</v>
      </c>
      <c r="D586">
        <v>1</v>
      </c>
      <c r="E586" t="s">
        <v>7</v>
      </c>
      <c r="F586" t="s">
        <v>9</v>
      </c>
      <c r="G586">
        <v>2787</v>
      </c>
      <c r="H586">
        <v>1917</v>
      </c>
      <c r="I586">
        <v>146</v>
      </c>
      <c r="J586">
        <v>360</v>
      </c>
      <c r="K586">
        <v>0</v>
      </c>
      <c r="L586" t="s">
        <v>3</v>
      </c>
      <c r="M586" t="s">
        <v>41</v>
      </c>
      <c r="N586" s="6">
        <f t="shared" ca="1" si="9"/>
        <v>43681</v>
      </c>
    </row>
    <row r="587" spans="1:14">
      <c r="A587" t="s">
        <v>625</v>
      </c>
      <c r="B587" t="s">
        <v>23</v>
      </c>
      <c r="C587" t="s">
        <v>10</v>
      </c>
      <c r="D587">
        <v>1</v>
      </c>
      <c r="E587" t="s">
        <v>7</v>
      </c>
      <c r="F587" t="s">
        <v>9</v>
      </c>
      <c r="G587">
        <v>4283</v>
      </c>
      <c r="H587">
        <v>3000</v>
      </c>
      <c r="I587">
        <v>172</v>
      </c>
      <c r="J587">
        <v>84</v>
      </c>
      <c r="K587">
        <v>1</v>
      </c>
      <c r="L587" t="s">
        <v>3</v>
      </c>
      <c r="M587" t="s">
        <v>41</v>
      </c>
      <c r="N587" s="6">
        <f t="shared" ca="1" si="9"/>
        <v>43619</v>
      </c>
    </row>
    <row r="588" spans="1:14">
      <c r="A588" t="s">
        <v>626</v>
      </c>
      <c r="B588" t="s">
        <v>23</v>
      </c>
      <c r="C588" t="s">
        <v>10</v>
      </c>
      <c r="D588">
        <v>0</v>
      </c>
      <c r="E588" t="s">
        <v>7</v>
      </c>
      <c r="F588" t="s">
        <v>9</v>
      </c>
      <c r="G588">
        <v>2297</v>
      </c>
      <c r="H588">
        <v>1522</v>
      </c>
      <c r="I588">
        <v>104</v>
      </c>
      <c r="J588">
        <v>360</v>
      </c>
      <c r="K588">
        <v>1</v>
      </c>
      <c r="L588" t="s">
        <v>5</v>
      </c>
      <c r="M588" t="s">
        <v>39</v>
      </c>
      <c r="N588" s="6">
        <f t="shared" ca="1" si="9"/>
        <v>43480</v>
      </c>
    </row>
    <row r="589" spans="1:14">
      <c r="A589" t="s">
        <v>627</v>
      </c>
      <c r="B589" t="s">
        <v>8</v>
      </c>
      <c r="C589" t="s">
        <v>9</v>
      </c>
      <c r="D589">
        <v>0</v>
      </c>
      <c r="E589" t="s">
        <v>11</v>
      </c>
      <c r="F589" t="s">
        <v>9</v>
      </c>
      <c r="G589">
        <v>2165</v>
      </c>
      <c r="H589">
        <v>0</v>
      </c>
      <c r="I589">
        <v>70</v>
      </c>
      <c r="J589">
        <v>360</v>
      </c>
      <c r="K589">
        <v>1</v>
      </c>
      <c r="L589" t="s">
        <v>4</v>
      </c>
      <c r="M589" t="s">
        <v>39</v>
      </c>
      <c r="N589" s="6">
        <f t="shared" ca="1" si="9"/>
        <v>43826</v>
      </c>
    </row>
    <row r="590" spans="1:14">
      <c r="A590" t="s">
        <v>628</v>
      </c>
      <c r="B590" t="s">
        <v>20</v>
      </c>
      <c r="C590" t="s">
        <v>9</v>
      </c>
      <c r="D590">
        <v>0</v>
      </c>
      <c r="E590" t="s">
        <v>7</v>
      </c>
      <c r="F590" t="s">
        <v>9</v>
      </c>
      <c r="G590">
        <v>4750</v>
      </c>
      <c r="H590">
        <v>0</v>
      </c>
      <c r="I590">
        <v>94</v>
      </c>
      <c r="J590">
        <v>360</v>
      </c>
      <c r="K590">
        <v>1</v>
      </c>
      <c r="L590" t="s">
        <v>4</v>
      </c>
      <c r="M590" t="s">
        <v>39</v>
      </c>
      <c r="N590" s="6">
        <f t="shared" ca="1" si="9"/>
        <v>43550</v>
      </c>
    </row>
    <row r="591" spans="1:14">
      <c r="A591" t="s">
        <v>629</v>
      </c>
      <c r="B591" t="s">
        <v>23</v>
      </c>
      <c r="C591" t="s">
        <v>10</v>
      </c>
      <c r="D591">
        <v>2</v>
      </c>
      <c r="E591" t="s">
        <v>7</v>
      </c>
      <c r="F591" t="s">
        <v>10</v>
      </c>
      <c r="G591">
        <v>2726</v>
      </c>
      <c r="H591">
        <v>0</v>
      </c>
      <c r="I591">
        <v>106</v>
      </c>
      <c r="J591">
        <v>360</v>
      </c>
      <c r="K591">
        <v>0</v>
      </c>
      <c r="L591" t="s">
        <v>4</v>
      </c>
      <c r="M591" t="s">
        <v>41</v>
      </c>
      <c r="N591" s="6">
        <f t="shared" ca="1" si="9"/>
        <v>43684</v>
      </c>
    </row>
    <row r="592" spans="1:14">
      <c r="A592" t="s">
        <v>630</v>
      </c>
      <c r="B592" t="s">
        <v>23</v>
      </c>
      <c r="C592" t="s">
        <v>10</v>
      </c>
      <c r="D592">
        <v>0</v>
      </c>
      <c r="E592" t="s">
        <v>7</v>
      </c>
      <c r="F592" t="s">
        <v>9</v>
      </c>
      <c r="G592">
        <v>3000</v>
      </c>
      <c r="H592">
        <v>3416</v>
      </c>
      <c r="I592">
        <v>56</v>
      </c>
      <c r="J592">
        <v>180</v>
      </c>
      <c r="K592">
        <v>1</v>
      </c>
      <c r="L592" t="s">
        <v>4</v>
      </c>
      <c r="M592" t="s">
        <v>39</v>
      </c>
      <c r="N592" s="6">
        <f t="shared" ca="1" si="9"/>
        <v>43514</v>
      </c>
    </row>
    <row r="593" spans="1:14">
      <c r="A593" t="s">
        <v>631</v>
      </c>
      <c r="B593" t="s">
        <v>23</v>
      </c>
      <c r="C593" t="s">
        <v>10</v>
      </c>
      <c r="D593">
        <v>2</v>
      </c>
      <c r="E593" t="s">
        <v>7</v>
      </c>
      <c r="F593" t="s">
        <v>10</v>
      </c>
      <c r="G593">
        <v>6000</v>
      </c>
      <c r="H593">
        <v>0</v>
      </c>
      <c r="I593">
        <v>205</v>
      </c>
      <c r="J593">
        <v>240</v>
      </c>
      <c r="K593">
        <v>1</v>
      </c>
      <c r="L593" t="s">
        <v>4</v>
      </c>
      <c r="M593" t="s">
        <v>41</v>
      </c>
      <c r="N593" s="6">
        <f t="shared" ca="1" si="9"/>
        <v>43617</v>
      </c>
    </row>
    <row r="594" spans="1:14">
      <c r="A594" t="s">
        <v>632</v>
      </c>
      <c r="B594" t="s">
        <v>20</v>
      </c>
      <c r="C594" t="s">
        <v>9</v>
      </c>
      <c r="D594">
        <v>3</v>
      </c>
      <c r="E594" t="s">
        <v>7</v>
      </c>
      <c r="F594" t="s">
        <v>10</v>
      </c>
      <c r="G594">
        <v>9357</v>
      </c>
      <c r="H594">
        <v>0</v>
      </c>
      <c r="I594">
        <v>292</v>
      </c>
      <c r="J594">
        <v>360</v>
      </c>
      <c r="K594">
        <v>1</v>
      </c>
      <c r="L594" t="s">
        <v>4</v>
      </c>
      <c r="M594" t="s">
        <v>39</v>
      </c>
      <c r="N594" s="6">
        <f t="shared" ca="1" si="9"/>
        <v>43565</v>
      </c>
    </row>
    <row r="595" spans="1:14">
      <c r="A595" t="s">
        <v>633</v>
      </c>
      <c r="B595" t="s">
        <v>23</v>
      </c>
      <c r="C595" t="s">
        <v>10</v>
      </c>
      <c r="D595">
        <v>0</v>
      </c>
      <c r="E595" t="s">
        <v>7</v>
      </c>
      <c r="F595" t="s">
        <v>9</v>
      </c>
      <c r="G595">
        <v>3859</v>
      </c>
      <c r="H595">
        <v>3300</v>
      </c>
      <c r="I595">
        <v>142</v>
      </c>
      <c r="J595">
        <v>180</v>
      </c>
      <c r="K595">
        <v>1</v>
      </c>
      <c r="L595" t="s">
        <v>3</v>
      </c>
      <c r="M595" t="s">
        <v>39</v>
      </c>
      <c r="N595" s="6">
        <f t="shared" ca="1" si="9"/>
        <v>43741</v>
      </c>
    </row>
    <row r="596" spans="1:14">
      <c r="A596" t="s">
        <v>634</v>
      </c>
      <c r="B596" t="s">
        <v>23</v>
      </c>
      <c r="C596" t="s">
        <v>10</v>
      </c>
      <c r="D596">
        <v>0</v>
      </c>
      <c r="E596" t="s">
        <v>7</v>
      </c>
      <c r="F596" t="s">
        <v>10</v>
      </c>
      <c r="G596">
        <v>16120</v>
      </c>
      <c r="H596">
        <v>0</v>
      </c>
      <c r="I596">
        <v>260</v>
      </c>
      <c r="J596">
        <v>360</v>
      </c>
      <c r="K596">
        <v>1</v>
      </c>
      <c r="L596" t="s">
        <v>5</v>
      </c>
      <c r="M596" t="s">
        <v>39</v>
      </c>
      <c r="N596" s="6">
        <f t="shared" ca="1" si="9"/>
        <v>43467</v>
      </c>
    </row>
    <row r="597" spans="1:14">
      <c r="A597" t="s">
        <v>635</v>
      </c>
      <c r="B597" t="s">
        <v>23</v>
      </c>
      <c r="C597" t="s">
        <v>9</v>
      </c>
      <c r="D597">
        <v>0</v>
      </c>
      <c r="E597" t="s">
        <v>11</v>
      </c>
      <c r="F597" t="s">
        <v>9</v>
      </c>
      <c r="G597">
        <v>3833</v>
      </c>
      <c r="H597">
        <v>0</v>
      </c>
      <c r="I597">
        <v>110</v>
      </c>
      <c r="J597">
        <v>360</v>
      </c>
      <c r="K597">
        <v>1</v>
      </c>
      <c r="L597" t="s">
        <v>3</v>
      </c>
      <c r="M597" t="s">
        <v>39</v>
      </c>
      <c r="N597" s="6">
        <f t="shared" ca="1" si="9"/>
        <v>43715</v>
      </c>
    </row>
    <row r="598" spans="1:14">
      <c r="A598" t="s">
        <v>636</v>
      </c>
      <c r="B598" t="s">
        <v>23</v>
      </c>
      <c r="C598" t="s">
        <v>10</v>
      </c>
      <c r="D598">
        <v>2</v>
      </c>
      <c r="E598" t="s">
        <v>11</v>
      </c>
      <c r="F598" t="s">
        <v>10</v>
      </c>
      <c r="G598">
        <v>6383</v>
      </c>
      <c r="H598">
        <v>1000</v>
      </c>
      <c r="I598">
        <v>187</v>
      </c>
      <c r="J598">
        <v>360</v>
      </c>
      <c r="K598">
        <v>1</v>
      </c>
      <c r="L598" t="s">
        <v>3</v>
      </c>
      <c r="M598" t="s">
        <v>41</v>
      </c>
      <c r="N598" s="6">
        <f t="shared" ca="1" si="9"/>
        <v>43591</v>
      </c>
    </row>
    <row r="599" spans="1:14">
      <c r="A599" t="s">
        <v>637</v>
      </c>
      <c r="B599" t="s">
        <v>23</v>
      </c>
      <c r="C599" t="s">
        <v>9</v>
      </c>
      <c r="E599" t="s">
        <v>7</v>
      </c>
      <c r="F599" t="s">
        <v>9</v>
      </c>
      <c r="G599">
        <v>2987</v>
      </c>
      <c r="H599">
        <v>0</v>
      </c>
      <c r="I599">
        <v>88</v>
      </c>
      <c r="J599">
        <v>360</v>
      </c>
      <c r="K599">
        <v>0</v>
      </c>
      <c r="L599" t="s">
        <v>4</v>
      </c>
      <c r="M599" t="s">
        <v>41</v>
      </c>
      <c r="N599" s="6">
        <f t="shared" ca="1" si="9"/>
        <v>43682</v>
      </c>
    </row>
    <row r="600" spans="1:14">
      <c r="A600" t="s">
        <v>638</v>
      </c>
      <c r="B600" t="s">
        <v>23</v>
      </c>
      <c r="C600" t="s">
        <v>10</v>
      </c>
      <c r="D600">
        <v>0</v>
      </c>
      <c r="E600" t="s">
        <v>7</v>
      </c>
      <c r="F600" t="s">
        <v>10</v>
      </c>
      <c r="G600">
        <v>9963</v>
      </c>
      <c r="H600">
        <v>0</v>
      </c>
      <c r="I600">
        <v>180</v>
      </c>
      <c r="J600">
        <v>360</v>
      </c>
      <c r="K600">
        <v>1</v>
      </c>
      <c r="L600" t="s">
        <v>3</v>
      </c>
      <c r="M600" t="s">
        <v>39</v>
      </c>
      <c r="N600" s="6">
        <f t="shared" ca="1" si="9"/>
        <v>43807</v>
      </c>
    </row>
    <row r="601" spans="1:14">
      <c r="A601" t="s">
        <v>639</v>
      </c>
      <c r="B601" t="s">
        <v>23</v>
      </c>
      <c r="C601" t="s">
        <v>10</v>
      </c>
      <c r="D601">
        <v>2</v>
      </c>
      <c r="E601" t="s">
        <v>7</v>
      </c>
      <c r="F601" t="s">
        <v>9</v>
      </c>
      <c r="G601">
        <v>5780</v>
      </c>
      <c r="H601">
        <v>0</v>
      </c>
      <c r="I601">
        <v>192</v>
      </c>
      <c r="J601">
        <v>360</v>
      </c>
      <c r="K601">
        <v>1</v>
      </c>
      <c r="L601" t="s">
        <v>5</v>
      </c>
      <c r="M601" t="s">
        <v>39</v>
      </c>
      <c r="N601" s="6">
        <f t="shared" ca="1" si="9"/>
        <v>43573</v>
      </c>
    </row>
    <row r="602" spans="1:14">
      <c r="A602" t="s">
        <v>640</v>
      </c>
      <c r="B602" t="s">
        <v>8</v>
      </c>
      <c r="C602" t="s">
        <v>9</v>
      </c>
      <c r="D602">
        <v>3</v>
      </c>
      <c r="E602" t="s">
        <v>7</v>
      </c>
      <c r="F602" t="s">
        <v>20</v>
      </c>
      <c r="G602">
        <v>416</v>
      </c>
      <c r="H602">
        <v>41667</v>
      </c>
      <c r="I602">
        <v>350</v>
      </c>
      <c r="J602">
        <v>180</v>
      </c>
      <c r="L602" t="s">
        <v>5</v>
      </c>
      <c r="M602" t="s">
        <v>41</v>
      </c>
      <c r="N602" s="6">
        <f t="shared" ca="1" si="9"/>
        <v>43639</v>
      </c>
    </row>
    <row r="603" spans="1:14">
      <c r="A603" t="s">
        <v>641</v>
      </c>
      <c r="B603" t="s">
        <v>23</v>
      </c>
      <c r="C603" t="s">
        <v>10</v>
      </c>
      <c r="D603">
        <v>0</v>
      </c>
      <c r="E603" t="s">
        <v>11</v>
      </c>
      <c r="F603" t="s">
        <v>20</v>
      </c>
      <c r="G603">
        <v>2894</v>
      </c>
      <c r="H603">
        <v>2792</v>
      </c>
      <c r="I603">
        <v>155</v>
      </c>
      <c r="J603">
        <v>360</v>
      </c>
      <c r="K603">
        <v>1</v>
      </c>
      <c r="L603" t="s">
        <v>3</v>
      </c>
      <c r="M603" t="s">
        <v>39</v>
      </c>
      <c r="N603" s="6">
        <f t="shared" ca="1" si="9"/>
        <v>43744</v>
      </c>
    </row>
    <row r="604" spans="1:14">
      <c r="A604" t="s">
        <v>642</v>
      </c>
      <c r="B604" t="s">
        <v>23</v>
      </c>
      <c r="C604" t="s">
        <v>10</v>
      </c>
      <c r="D604">
        <v>3</v>
      </c>
      <c r="E604" t="s">
        <v>7</v>
      </c>
      <c r="F604" t="s">
        <v>9</v>
      </c>
      <c r="G604">
        <v>5703</v>
      </c>
      <c r="H604">
        <v>0</v>
      </c>
      <c r="I604">
        <v>128</v>
      </c>
      <c r="J604">
        <v>360</v>
      </c>
      <c r="K604">
        <v>1</v>
      </c>
      <c r="L604" t="s">
        <v>5</v>
      </c>
      <c r="M604" t="s">
        <v>39</v>
      </c>
      <c r="N604" s="6">
        <f t="shared" ca="1" si="9"/>
        <v>43716</v>
      </c>
    </row>
    <row r="605" spans="1:14">
      <c r="A605" t="s">
        <v>643</v>
      </c>
      <c r="B605" t="s">
        <v>23</v>
      </c>
      <c r="C605" t="s">
        <v>9</v>
      </c>
      <c r="D605">
        <v>0</v>
      </c>
      <c r="E605" t="s">
        <v>7</v>
      </c>
      <c r="F605" t="s">
        <v>9</v>
      </c>
      <c r="G605">
        <v>3676</v>
      </c>
      <c r="H605">
        <v>4301</v>
      </c>
      <c r="I605">
        <v>172</v>
      </c>
      <c r="J605">
        <v>360</v>
      </c>
      <c r="K605">
        <v>1</v>
      </c>
      <c r="L605" t="s">
        <v>3</v>
      </c>
      <c r="M605" t="s">
        <v>39</v>
      </c>
      <c r="N605" s="6">
        <f t="shared" ca="1" si="9"/>
        <v>43821</v>
      </c>
    </row>
    <row r="606" spans="1:14">
      <c r="A606" t="s">
        <v>644</v>
      </c>
      <c r="B606" t="s">
        <v>8</v>
      </c>
      <c r="C606" t="s">
        <v>10</v>
      </c>
      <c r="D606">
        <v>1</v>
      </c>
      <c r="E606" t="s">
        <v>7</v>
      </c>
      <c r="F606" t="s">
        <v>9</v>
      </c>
      <c r="G606">
        <v>12000</v>
      </c>
      <c r="H606">
        <v>0</v>
      </c>
      <c r="I606">
        <v>496</v>
      </c>
      <c r="J606">
        <v>360</v>
      </c>
      <c r="K606">
        <v>1</v>
      </c>
      <c r="L606" t="s">
        <v>4</v>
      </c>
      <c r="M606" t="s">
        <v>39</v>
      </c>
      <c r="N606" s="6">
        <f t="shared" ca="1" si="9"/>
        <v>43480</v>
      </c>
    </row>
    <row r="607" spans="1:14">
      <c r="A607" t="s">
        <v>645</v>
      </c>
      <c r="B607" t="s">
        <v>23</v>
      </c>
      <c r="C607" t="s">
        <v>10</v>
      </c>
      <c r="D607">
        <v>0</v>
      </c>
      <c r="E607" t="s">
        <v>11</v>
      </c>
      <c r="F607" t="s">
        <v>9</v>
      </c>
      <c r="G607">
        <v>2400</v>
      </c>
      <c r="H607">
        <v>3800</v>
      </c>
      <c r="J607">
        <v>180</v>
      </c>
      <c r="K607">
        <v>1</v>
      </c>
      <c r="L607" t="s">
        <v>5</v>
      </c>
      <c r="M607" t="s">
        <v>41</v>
      </c>
      <c r="N607" s="6">
        <f t="shared" ca="1" si="9"/>
        <v>43488</v>
      </c>
    </row>
    <row r="608" spans="1:14">
      <c r="A608" t="s">
        <v>646</v>
      </c>
      <c r="B608" t="s">
        <v>23</v>
      </c>
      <c r="C608" t="s">
        <v>10</v>
      </c>
      <c r="D608">
        <v>1</v>
      </c>
      <c r="E608" t="s">
        <v>7</v>
      </c>
      <c r="F608" t="s">
        <v>9</v>
      </c>
      <c r="G608">
        <v>3400</v>
      </c>
      <c r="H608">
        <v>2500</v>
      </c>
      <c r="I608">
        <v>173</v>
      </c>
      <c r="J608">
        <v>360</v>
      </c>
      <c r="K608">
        <v>1</v>
      </c>
      <c r="L608" t="s">
        <v>4</v>
      </c>
      <c r="M608" t="s">
        <v>39</v>
      </c>
      <c r="N608" s="6">
        <f t="shared" ca="1" si="9"/>
        <v>43510</v>
      </c>
    </row>
    <row r="609" spans="1:14">
      <c r="A609" t="s">
        <v>647</v>
      </c>
      <c r="B609" t="s">
        <v>23</v>
      </c>
      <c r="C609" t="s">
        <v>10</v>
      </c>
      <c r="D609">
        <v>2</v>
      </c>
      <c r="E609" t="s">
        <v>11</v>
      </c>
      <c r="F609" t="s">
        <v>9</v>
      </c>
      <c r="G609">
        <v>3987</v>
      </c>
      <c r="H609">
        <v>1411</v>
      </c>
      <c r="I609">
        <v>157</v>
      </c>
      <c r="J609">
        <v>360</v>
      </c>
      <c r="K609">
        <v>1</v>
      </c>
      <c r="L609" t="s">
        <v>3</v>
      </c>
      <c r="M609" t="s">
        <v>39</v>
      </c>
      <c r="N609" s="6">
        <f t="shared" ca="1" si="9"/>
        <v>43712</v>
      </c>
    </row>
    <row r="610" spans="1:14">
      <c r="A610" t="s">
        <v>648</v>
      </c>
      <c r="B610" t="s">
        <v>23</v>
      </c>
      <c r="C610" t="s">
        <v>10</v>
      </c>
      <c r="D610">
        <v>0</v>
      </c>
      <c r="E610" t="s">
        <v>7</v>
      </c>
      <c r="F610" t="s">
        <v>9</v>
      </c>
      <c r="G610">
        <v>3232</v>
      </c>
      <c r="H610">
        <v>1950</v>
      </c>
      <c r="I610">
        <v>108</v>
      </c>
      <c r="J610">
        <v>360</v>
      </c>
      <c r="K610">
        <v>1</v>
      </c>
      <c r="L610" t="s">
        <v>3</v>
      </c>
      <c r="M610" t="s">
        <v>39</v>
      </c>
      <c r="N610" s="6">
        <f t="shared" ca="1" si="9"/>
        <v>43480</v>
      </c>
    </row>
    <row r="611" spans="1:14">
      <c r="A611" t="s">
        <v>649</v>
      </c>
      <c r="B611" t="s">
        <v>8</v>
      </c>
      <c r="C611" t="s">
        <v>9</v>
      </c>
      <c r="D611">
        <v>0</v>
      </c>
      <c r="E611" t="s">
        <v>7</v>
      </c>
      <c r="F611" t="s">
        <v>9</v>
      </c>
      <c r="G611">
        <v>2900</v>
      </c>
      <c r="H611">
        <v>0</v>
      </c>
      <c r="I611">
        <v>71</v>
      </c>
      <c r="J611">
        <v>360</v>
      </c>
      <c r="K611">
        <v>1</v>
      </c>
      <c r="L611" t="s">
        <v>3</v>
      </c>
      <c r="M611" t="s">
        <v>39</v>
      </c>
      <c r="N611" s="6">
        <f t="shared" ca="1" si="9"/>
        <v>43794</v>
      </c>
    </row>
    <row r="612" spans="1:14">
      <c r="A612" t="s">
        <v>650</v>
      </c>
      <c r="B612" t="s">
        <v>23</v>
      </c>
      <c r="C612" t="s">
        <v>10</v>
      </c>
      <c r="D612">
        <v>3</v>
      </c>
      <c r="E612" t="s">
        <v>7</v>
      </c>
      <c r="F612" t="s">
        <v>9</v>
      </c>
      <c r="G612">
        <v>4106</v>
      </c>
      <c r="H612">
        <v>0</v>
      </c>
      <c r="I612">
        <v>40</v>
      </c>
      <c r="J612">
        <v>180</v>
      </c>
      <c r="K612">
        <v>1</v>
      </c>
      <c r="L612" t="s">
        <v>3</v>
      </c>
      <c r="M612" t="s">
        <v>39</v>
      </c>
      <c r="N612" s="6">
        <f t="shared" ca="1" si="9"/>
        <v>43805</v>
      </c>
    </row>
    <row r="613" spans="1:14">
      <c r="A613" t="s">
        <v>651</v>
      </c>
      <c r="B613" t="s">
        <v>23</v>
      </c>
      <c r="C613" t="s">
        <v>10</v>
      </c>
      <c r="D613">
        <v>1</v>
      </c>
      <c r="E613" t="s">
        <v>7</v>
      </c>
      <c r="F613" t="s">
        <v>9</v>
      </c>
      <c r="G613">
        <v>8072</v>
      </c>
      <c r="H613">
        <v>240</v>
      </c>
      <c r="I613">
        <v>253</v>
      </c>
      <c r="J613">
        <v>360</v>
      </c>
      <c r="K613">
        <v>1</v>
      </c>
      <c r="L613" t="s">
        <v>5</v>
      </c>
      <c r="M613" t="s">
        <v>39</v>
      </c>
      <c r="N613" s="6">
        <f t="shared" ca="1" si="9"/>
        <v>43631</v>
      </c>
    </row>
    <row r="614" spans="1:14">
      <c r="A614" t="s">
        <v>652</v>
      </c>
      <c r="B614" t="s">
        <v>23</v>
      </c>
      <c r="C614" t="s">
        <v>10</v>
      </c>
      <c r="D614">
        <v>2</v>
      </c>
      <c r="E614" t="s">
        <v>7</v>
      </c>
      <c r="F614" t="s">
        <v>9</v>
      </c>
      <c r="G614">
        <v>7583</v>
      </c>
      <c r="H614">
        <v>0</v>
      </c>
      <c r="I614">
        <v>187</v>
      </c>
      <c r="J614">
        <v>360</v>
      </c>
      <c r="K614">
        <v>1</v>
      </c>
      <c r="L614" t="s">
        <v>5</v>
      </c>
      <c r="M614" t="s">
        <v>39</v>
      </c>
      <c r="N614" s="6">
        <f t="shared" ca="1" si="9"/>
        <v>43551</v>
      </c>
    </row>
    <row r="615" spans="1:14">
      <c r="A615" t="s">
        <v>653</v>
      </c>
      <c r="B615" t="s">
        <v>8</v>
      </c>
      <c r="C615" t="s">
        <v>9</v>
      </c>
      <c r="D615">
        <v>0</v>
      </c>
      <c r="E615" t="s">
        <v>7</v>
      </c>
      <c r="F615" t="s">
        <v>10</v>
      </c>
      <c r="G615">
        <v>4583</v>
      </c>
      <c r="H615">
        <v>0</v>
      </c>
      <c r="I615">
        <v>133</v>
      </c>
      <c r="J615">
        <v>360</v>
      </c>
      <c r="K615">
        <v>0</v>
      </c>
      <c r="L615" t="s">
        <v>4</v>
      </c>
      <c r="M615" t="s">
        <v>41</v>
      </c>
      <c r="N615" s="6">
        <f t="shared" ca="1" si="9"/>
        <v>43785</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xml version="1.0" encoding="utf-8"?>
<ct:contentTypeSchema xmlns:ct="http://schemas.microsoft.com/office/2006/metadata/contentType" xmlns:ma="http://schemas.microsoft.com/office/2006/metadata/properties/metaAttributes" ct:_="" ma:_="" ma:contentTypeName="Document" ma:contentTypeID="0x010100EBF1F553163E144C99D24CE9CE62DF96" ma:contentTypeVersion="2" ma:contentTypeDescription="Create a new document." ma:contentTypeScope="" ma:versionID="5cb30eadce531eb33c4661de37463b06">
  <xsd:schema xmlns:xsd="http://www.w3.org/2001/XMLSchema" xmlns:xs="http://www.w3.org/2001/XMLSchema" xmlns:p="http://schemas.microsoft.com/office/2006/metadata/properties" xmlns:ns2="a81b8f64-ed86-4402-b1ef-66947e2cf79e" targetNamespace="http://schemas.microsoft.com/office/2006/metadata/properties" ma:root="true" ma:fieldsID="d4d209b016fc1724cb3784813636656d" ns2:_="">
    <xsd:import namespace="a81b8f64-ed86-4402-b1ef-66947e2cf79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1b8f64-ed86-4402-b1ef-66947e2cf7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xml version="1.0" encoding="utf-8"?>
<p:properties xmlns:p="http://schemas.microsoft.com/office/2006/metadata/properties" xmlns:xsi="http://www.w3.org/2001/XMLSchema-instance" xmlns:pc="http://schemas.microsoft.com/office/infopath/2007/PartnerControls">
  <documentManagement/>
</p:properties>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xml version="1.0" encoding="utf-8"?>
<?mso-contentType ?>
<FormTemplates xmlns="http://schemas.microsoft.com/sharepoint/v3/contenttype/forms">
  <Display>DocumentLibraryForm</Display>
  <Edit>DocumentLibraryForm</Edit>
  <New>DocumentLibraryForm</New>
</FormTemplates>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Props1.xml><?xml version="1.0" encoding="utf-8"?>
<ds:datastoreItem xmlns:ds="http://schemas.openxmlformats.org/officeDocument/2006/customXml" ds:itemID="{0A08AE55-83EF-4E6C-B761-C57A28E661F7}"/>
</file>

<file path=customXml/itemProps2.xml><?xml version="1.0" encoding="utf-8"?>
<ds:datastoreItem xmlns:ds="http://schemas.openxmlformats.org/officeDocument/2006/customXml" ds:itemID="{448EF92C-70FC-4230-A012-30686F3BA208}"/>
</file>

<file path=customXml/itemProps3.xml><?xml version="1.0" encoding="utf-8"?>
<ds:datastoreItem xmlns:ds="http://schemas.openxmlformats.org/officeDocument/2006/customXml" ds:itemID="{B7140C3D-17EC-47BC-9C29-DA772815FE28}"/>
</file>

<file path=customXml/itemProps4.xml><?xml version="1.0" encoding="utf-8"?>
<ds:datastoreItem xmlns:ds="http://schemas.openxmlformats.org/officeDocument/2006/customXml" ds:itemID="{9C01FBA1-F0E5-4E8C-AB0D-65F3369CACC7}"/>
</file>

<file path=customXml/itemProps5.xml><?xml version="1.0" encoding="utf-8"?>
<ds:datastoreItem xmlns:ds="http://schemas.openxmlformats.org/officeDocument/2006/customXml" ds:itemID="{09381E22-5820-4618-8A76-0409133AD070}"/>
</file>

<file path=customXml/itemProps6.xml><?xml version="1.0" encoding="utf-8"?>
<ds:datastoreItem xmlns:ds="http://schemas.openxmlformats.org/officeDocument/2006/customXml" ds:itemID="{21145F91-2033-4A76-9C0C-B6C3857527FB}"/>
</file>

<file path=customXml/itemProps7.xml><?xml version="1.0" encoding="utf-8"?>
<ds:datastoreItem xmlns:ds="http://schemas.openxmlformats.org/officeDocument/2006/customXml" ds:itemID="{3108AB77-8A78-4BFC-9AD2-F91CFD3B234D}"/>
</file>

<file path=customXml/itemProps8.xml><?xml version="1.0" encoding="utf-8"?>
<ds:datastoreItem xmlns:ds="http://schemas.openxmlformats.org/officeDocument/2006/customXml" ds:itemID="{88B0FB15-CBD9-4F20-919A-ACA5F8BBA9C8}"/>
</file>

<file path=customXml/itemProps9.xml><?xml version="1.0" encoding="utf-8"?>
<ds:datastoreItem xmlns:ds="http://schemas.openxmlformats.org/officeDocument/2006/customXml" ds:itemID="{34BC15BA-2116-4E71-8FF7-25C88D501EAC}"/>
</file>

<file path=customXml/itemProps10.xml><?xml version="1.0" encoding="utf-8"?>
<ds:datastoreItem xmlns:ds="http://schemas.openxmlformats.org/officeDocument/2006/customXml" ds:itemID="{EBA3945A-2321-4EBA-A284-6DB823362D3F}"/>
</file>

<file path=customXml/itemProps11.xml><?xml version="1.0" encoding="utf-8"?>
<ds:datastoreItem xmlns:ds="http://schemas.openxmlformats.org/officeDocument/2006/customXml" ds:itemID="{AE18B3F6-1B71-4377-89CA-7A2E336D65AC}"/>
</file>

<file path=customXml/itemProps12.xml><?xml version="1.0" encoding="utf-8"?>
<ds:datastoreItem xmlns:ds="http://schemas.openxmlformats.org/officeDocument/2006/customXml" ds:itemID="{3A9F8B77-AFF4-4176-BB91-4D7E53E8ED41}"/>
</file>

<file path=customXml/itemProps13.xml><?xml version="1.0" encoding="utf-8"?>
<ds:datastoreItem xmlns:ds="http://schemas.openxmlformats.org/officeDocument/2006/customXml" ds:itemID="{58C3BB75-6834-41E3-8409-DF0C452B79C9}"/>
</file>

<file path=customXml/itemProps14.xml><?xml version="1.0" encoding="utf-8"?>
<ds:datastoreItem xmlns:ds="http://schemas.openxmlformats.org/officeDocument/2006/customXml" ds:itemID="{ED2F61E4-BDE3-460D-95BB-99C08043EE47}"/>
</file>

<file path=customXml/itemProps15.xml><?xml version="1.0" encoding="utf-8"?>
<ds:datastoreItem xmlns:ds="http://schemas.openxmlformats.org/officeDocument/2006/customXml" ds:itemID="{77ED045B-3592-4FEF-8D7E-A46F7EA44FF3}"/>
</file>

<file path=customXml/itemProps16.xml><?xml version="1.0" encoding="utf-8"?>
<ds:datastoreItem xmlns:ds="http://schemas.openxmlformats.org/officeDocument/2006/customXml" ds:itemID="{801DDF2E-20A3-46BB-A040-C67D1921A1B9}"/>
</file>

<file path=customXml/itemProps17.xml><?xml version="1.0" encoding="utf-8"?>
<ds:datastoreItem xmlns:ds="http://schemas.openxmlformats.org/officeDocument/2006/customXml" ds:itemID="{33A5FD33-147B-49FB-A4E6-10FE2547FB31}"/>
</file>

<file path=customXml/itemProps18.xml><?xml version="1.0" encoding="utf-8"?>
<ds:datastoreItem xmlns:ds="http://schemas.openxmlformats.org/officeDocument/2006/customXml" ds:itemID="{833298CB-8F06-43E6-88DA-3FDF6F43CA24}"/>
</file>

<file path=customXml/itemProps19.xml><?xml version="1.0" encoding="utf-8"?>
<ds:datastoreItem xmlns:ds="http://schemas.openxmlformats.org/officeDocument/2006/customXml" ds:itemID="{D6AE51C7-E14D-4D06-82BD-7CA1C774F753}"/>
</file>

<file path=customXml/itemProps20.xml><?xml version="1.0" encoding="utf-8"?>
<ds:datastoreItem xmlns:ds="http://schemas.openxmlformats.org/officeDocument/2006/customXml" ds:itemID="{05A2968F-7E83-4B4B-99A2-DBCD7B852120}"/>
</file>

<file path=customXml/itemProps21.xml><?xml version="1.0" encoding="utf-8"?>
<ds:datastoreItem xmlns:ds="http://schemas.openxmlformats.org/officeDocument/2006/customXml" ds:itemID="{55EDBE91-B449-4D28-9C6C-7ECEBB3ACED3}"/>
</file>

<file path=customXml/itemProps22.xml><?xml version="1.0" encoding="utf-8"?>
<ds:datastoreItem xmlns:ds="http://schemas.openxmlformats.org/officeDocument/2006/customXml" ds:itemID="{B8FED491-9B72-40E9-8579-7ECB027DD79A}"/>
</file>

<file path=customXml/itemProps23.xml><?xml version="1.0" encoding="utf-8"?>
<ds:datastoreItem xmlns:ds="http://schemas.openxmlformats.org/officeDocument/2006/customXml" ds:itemID="{9FF839DA-5A87-4A62-A0A5-FF6F866E6E3F}"/>
</file>

<file path=customXml/itemProps24.xml><?xml version="1.0" encoding="utf-8"?>
<ds:datastoreItem xmlns:ds="http://schemas.openxmlformats.org/officeDocument/2006/customXml" ds:itemID="{38437D7B-80F6-43B9-8974-5F5636EA5EB2}"/>
</file>

<file path=customXml/itemProps25.xml><?xml version="1.0" encoding="utf-8"?>
<ds:datastoreItem xmlns:ds="http://schemas.openxmlformats.org/officeDocument/2006/customXml" ds:itemID="{47DA9091-6BFE-4FA1-BBC9-E93AB6C98081}"/>
</file>

<file path=customXml/itemProps26.xml><?xml version="1.0" encoding="utf-8"?>
<ds:datastoreItem xmlns:ds="http://schemas.openxmlformats.org/officeDocument/2006/customXml" ds:itemID="{B86A29E5-9C25-403A-86CB-4F4831010B6B}"/>
</file>

<file path=customXml/itemProps27.xml><?xml version="1.0" encoding="utf-8"?>
<ds:datastoreItem xmlns:ds="http://schemas.openxmlformats.org/officeDocument/2006/customXml" ds:itemID="{B5C5DE9A-9D7C-40FB-A6CB-202D45506430}"/>
</file>

<file path=customXml/itemProps28.xml><?xml version="1.0" encoding="utf-8"?>
<ds:datastoreItem xmlns:ds="http://schemas.openxmlformats.org/officeDocument/2006/customXml" ds:itemID="{54E6CD04-65B7-4FDB-8803-F34911A072BA}"/>
</file>

<file path=customXml/itemProps29.xml><?xml version="1.0" encoding="utf-8"?>
<ds:datastoreItem xmlns:ds="http://schemas.openxmlformats.org/officeDocument/2006/customXml" ds:itemID="{B0489334-09A7-4D68-8699-7963AE818B25}"/>
</file>

<file path=customXml/itemProps30.xml><?xml version="1.0" encoding="utf-8"?>
<ds:datastoreItem xmlns:ds="http://schemas.openxmlformats.org/officeDocument/2006/customXml" ds:itemID="{532D3AC0-66B0-4363-9767-BA016CDC039E}"/>
</file>

<file path=customXml/itemProps31.xml><?xml version="1.0" encoding="utf-8"?>
<ds:datastoreItem xmlns:ds="http://schemas.openxmlformats.org/officeDocument/2006/customXml" ds:itemID="{6F14D9D7-2DF7-4E19-A8DF-5A7AF04EAA94}"/>
</file>

<file path=customXml/itemProps32.xml><?xml version="1.0" encoding="utf-8"?>
<ds:datastoreItem xmlns:ds="http://schemas.openxmlformats.org/officeDocument/2006/customXml" ds:itemID="{898C7E47-9C79-4B4B-A73E-D995EBF6FA8A}"/>
</file>

<file path=customXml/itemProps33.xml><?xml version="1.0" encoding="utf-8"?>
<ds:datastoreItem xmlns:ds="http://schemas.openxmlformats.org/officeDocument/2006/customXml" ds:itemID="{509F7897-12C4-47E1-A142-04415BA54507}"/>
</file>

<file path=customXml/itemProps34.xml><?xml version="1.0" encoding="utf-8"?>
<ds:datastoreItem xmlns:ds="http://schemas.openxmlformats.org/officeDocument/2006/customXml" ds:itemID="{A5FE7643-E2E5-46C5-8AA7-85FCB9A52EE9}"/>
</file>

<file path=customXml/itemProps35.xml><?xml version="1.0" encoding="utf-8"?>
<ds:datastoreItem xmlns:ds="http://schemas.openxmlformats.org/officeDocument/2006/customXml" ds:itemID="{45A79FE2-7E51-40B1-A5BC-C4EF5FEF0DED}"/>
</file>

<file path=customXml/itemProps36.xml><?xml version="1.0" encoding="utf-8"?>
<ds:datastoreItem xmlns:ds="http://schemas.openxmlformats.org/officeDocument/2006/customXml" ds:itemID="{79A4A996-94DB-4B3A-A5A1-415549904120}"/>
</file>

<file path=customXml/itemProps37.xml><?xml version="1.0" encoding="utf-8"?>
<ds:datastoreItem xmlns:ds="http://schemas.openxmlformats.org/officeDocument/2006/customXml" ds:itemID="{D088BAFA-95CD-4C4B-9937-BCBA516FB298}"/>
</file>

<file path=customXml/itemProps38.xml><?xml version="1.0" encoding="utf-8"?>
<ds:datastoreItem xmlns:ds="http://schemas.openxmlformats.org/officeDocument/2006/customXml" ds:itemID="{F8C15773-C0EE-4CA8-89B9-772FF88126BF}"/>
</file>

<file path=customXml/itemProps39.xml><?xml version="1.0" encoding="utf-8"?>
<ds:datastoreItem xmlns:ds="http://schemas.openxmlformats.org/officeDocument/2006/customXml" ds:itemID="{7051A056-7200-4B70-A5F7-6261C56B9D85}"/>
</file>

<file path=customXml/itemProps40.xml><?xml version="1.0" encoding="utf-8"?>
<ds:datastoreItem xmlns:ds="http://schemas.openxmlformats.org/officeDocument/2006/customXml" ds:itemID="{BE17180B-CD51-4BB2-8CFC-9FABF0EA8A7D}"/>
</file>

<file path=customXml/itemProps41.xml><?xml version="1.0" encoding="utf-8"?>
<ds:datastoreItem xmlns:ds="http://schemas.openxmlformats.org/officeDocument/2006/customXml" ds:itemID="{6B2F2C5F-CCBD-4C3F-8BDC-7076BBF7F252}"/>
</file>

<file path=customXml/itemProps42.xml><?xml version="1.0" encoding="utf-8"?>
<ds:datastoreItem xmlns:ds="http://schemas.openxmlformats.org/officeDocument/2006/customXml" ds:itemID="{1366E1FE-A674-4EF2-AA55-562FB76497E5}"/>
</file>

<file path=customXml/itemProps43.xml><?xml version="1.0" encoding="utf-8"?>
<ds:datastoreItem xmlns:ds="http://schemas.openxmlformats.org/officeDocument/2006/customXml" ds:itemID="{FE966EF0-EE72-497D-AFDB-8285AB3B2598}"/>
</file>

<file path=customXml/itemProps44.xml><?xml version="1.0" encoding="utf-8"?>
<ds:datastoreItem xmlns:ds="http://schemas.openxmlformats.org/officeDocument/2006/customXml" ds:itemID="{044D78A4-19ED-47F0-B46B-6FE326BC9045}"/>
</file>

<file path=customXml/itemProps45.xml><?xml version="1.0" encoding="utf-8"?>
<ds:datastoreItem xmlns:ds="http://schemas.openxmlformats.org/officeDocument/2006/customXml" ds:itemID="{8F3082D3-1F3A-4783-93A9-8E3BD2BBE8FB}"/>
</file>

<file path=customXml/itemProps46.xml><?xml version="1.0" encoding="utf-8"?>
<ds:datastoreItem xmlns:ds="http://schemas.openxmlformats.org/officeDocument/2006/customXml" ds:itemID="{4B542FDF-7119-4EF6-82E8-F0554162F50B}"/>
</file>

<file path=customXml/itemProps47.xml><?xml version="1.0" encoding="utf-8"?>
<ds:datastoreItem xmlns:ds="http://schemas.openxmlformats.org/officeDocument/2006/customXml" ds:itemID="{6ABE5D79-1355-4C4A-BFCA-A1E87F387425}"/>
</file>

<file path=customXml/itemProps48.xml><?xml version="1.0" encoding="utf-8"?>
<ds:datastoreItem xmlns:ds="http://schemas.openxmlformats.org/officeDocument/2006/customXml" ds:itemID="{7FDC7614-C6B1-47F3-9900-029BDA0A4F52}"/>
</file>

<file path=customXml/itemProps49.xml><?xml version="1.0" encoding="utf-8"?>
<ds:datastoreItem xmlns:ds="http://schemas.openxmlformats.org/officeDocument/2006/customXml" ds:itemID="{A6F6C8F8-BFFB-4ABD-B448-A8756FC04D7A}"/>
</file>

<file path=customXml/itemProps50.xml><?xml version="1.0" encoding="utf-8"?>
<ds:datastoreItem xmlns:ds="http://schemas.openxmlformats.org/officeDocument/2006/customXml" ds:itemID="{544DC82C-B3A1-4782-A65B-557294B2F878}"/>
</file>

<file path=customXml/itemProps51.xml><?xml version="1.0" encoding="utf-8"?>
<ds:datastoreItem xmlns:ds="http://schemas.openxmlformats.org/officeDocument/2006/customXml" ds:itemID="{B9C6A1B8-1035-4593-8A5E-A2350EBA9B8A}"/>
</file>

<file path=customXml/itemProps52.xml><?xml version="1.0" encoding="utf-8"?>
<ds:datastoreItem xmlns:ds="http://schemas.openxmlformats.org/officeDocument/2006/customXml" ds:itemID="{8A678128-8109-492A-9035-CB10FF3DF681}"/>
</file>

<file path=customXml/itemProps53.xml><?xml version="1.0" encoding="utf-8"?>
<ds:datastoreItem xmlns:ds="http://schemas.openxmlformats.org/officeDocument/2006/customXml" ds:itemID="{58F08BF0-E68A-4405-9B52-1A96015B3515}"/>
</file>

<file path=customXml/itemProps54.xml><?xml version="1.0" encoding="utf-8"?>
<ds:datastoreItem xmlns:ds="http://schemas.openxmlformats.org/officeDocument/2006/customXml" ds:itemID="{024D7C22-7E68-4830-88FE-A215CDAC96F1}"/>
</file>

<file path=customXml/itemProps55.xml><?xml version="1.0" encoding="utf-8"?>
<ds:datastoreItem xmlns:ds="http://schemas.openxmlformats.org/officeDocument/2006/customXml" ds:itemID="{EEA21CE0-EEA1-4EF9-8A12-5FC67DFE8E2C}"/>
</file>

<file path=customXml/itemProps56.xml><?xml version="1.0" encoding="utf-8"?>
<ds:datastoreItem xmlns:ds="http://schemas.openxmlformats.org/officeDocument/2006/customXml" ds:itemID="{C1B10353-C7A5-4F4F-8A5A-AD44C4813C5E}"/>
</file>

<file path=customXml/itemProps57.xml><?xml version="1.0" encoding="utf-8"?>
<ds:datastoreItem xmlns:ds="http://schemas.openxmlformats.org/officeDocument/2006/customXml" ds:itemID="{A080DEA5-BAC5-4047-86F8-3301D3200A3C}"/>
</file>

<file path=customXml/itemProps58.xml><?xml version="1.0" encoding="utf-8"?>
<ds:datastoreItem xmlns:ds="http://schemas.openxmlformats.org/officeDocument/2006/customXml" ds:itemID="{A8359439-18AC-43B7-A549-A54B3444E72C}"/>
</file>

<file path=customXml/itemProps59.xml><?xml version="1.0" encoding="utf-8"?>
<ds:datastoreItem xmlns:ds="http://schemas.openxmlformats.org/officeDocument/2006/customXml" ds:itemID="{4AA3FCC0-FB9B-4A7A-B3EE-E12D28B002A4}"/>
</file>

<file path=customXml/itemProps60.xml><?xml version="1.0" encoding="utf-8"?>
<ds:datastoreItem xmlns:ds="http://schemas.openxmlformats.org/officeDocument/2006/customXml" ds:itemID="{C79E24BD-CEBB-4560-A2F2-DFC03444CDEE}"/>
</file>

<file path=customXml/itemProps61.xml><?xml version="1.0" encoding="utf-8"?>
<ds:datastoreItem xmlns:ds="http://schemas.openxmlformats.org/officeDocument/2006/customXml" ds:itemID="{122F66C9-A457-44B1-8D40-67AA2647BE58}"/>
</file>

<file path=customXml/itemProps62.xml><?xml version="1.0" encoding="utf-8"?>
<ds:datastoreItem xmlns:ds="http://schemas.openxmlformats.org/officeDocument/2006/customXml" ds:itemID="{EF02A997-777E-4354-8B1F-9485353A77DF}"/>
</file>

<file path=customXml/itemProps63.xml><?xml version="1.0" encoding="utf-8"?>
<ds:datastoreItem xmlns:ds="http://schemas.openxmlformats.org/officeDocument/2006/customXml" ds:itemID="{1096FF06-EB69-4138-86DD-F4FF15DB21A1}"/>
</file>

<file path=customXml/itemProps64.xml><?xml version="1.0" encoding="utf-8"?>
<ds:datastoreItem xmlns:ds="http://schemas.openxmlformats.org/officeDocument/2006/customXml" ds:itemID="{B6F932B9-AB5A-4E6F-87C8-2F31999D2CD4}"/>
</file>

<file path=customXml/itemProps65.xml><?xml version="1.0" encoding="utf-8"?>
<ds:datastoreItem xmlns:ds="http://schemas.openxmlformats.org/officeDocument/2006/customXml" ds:itemID="{C61962CD-FFF8-4E98-9CFC-7F93DCE5B11C}"/>
</file>

<file path=customXml/itemProps66.xml><?xml version="1.0" encoding="utf-8"?>
<ds:datastoreItem xmlns:ds="http://schemas.openxmlformats.org/officeDocument/2006/customXml" ds:itemID="{C8BACA45-E456-49CB-BE95-59FC6A69E4F2}"/>
</file>

<file path=customXml/itemProps67.xml><?xml version="1.0" encoding="utf-8"?>
<ds:datastoreItem xmlns:ds="http://schemas.openxmlformats.org/officeDocument/2006/customXml" ds:itemID="{E17B7310-6C32-47BD-BA8D-5486AC43DC92}"/>
</file>

<file path=customXml/itemProps68.xml><?xml version="1.0" encoding="utf-8"?>
<ds:datastoreItem xmlns:ds="http://schemas.openxmlformats.org/officeDocument/2006/customXml" ds:itemID="{939F5AAC-6A10-4883-B061-A97660BA5002}"/>
</file>

<file path=customXml/itemProps69.xml><?xml version="1.0" encoding="utf-8"?>
<ds:datastoreItem xmlns:ds="http://schemas.openxmlformats.org/officeDocument/2006/customXml" ds:itemID="{7966B929-61E1-4564-8314-6F1CF30DBCE2}"/>
</file>

<file path=customXml/itemProps70.xml><?xml version="1.0" encoding="utf-8"?>
<ds:datastoreItem xmlns:ds="http://schemas.openxmlformats.org/officeDocument/2006/customXml" ds:itemID="{BAE98358-94D6-4E08-8B6A-4547D7F28280}"/>
</file>

<file path=customXml/itemProps71.xml><?xml version="1.0" encoding="utf-8"?>
<ds:datastoreItem xmlns:ds="http://schemas.openxmlformats.org/officeDocument/2006/customXml" ds:itemID="{03E08B55-F8B0-48B8-9520-775C3B77175B}"/>
</file>

<file path=customXml/itemProps72.xml><?xml version="1.0" encoding="utf-8"?>
<ds:datastoreItem xmlns:ds="http://schemas.openxmlformats.org/officeDocument/2006/customXml" ds:itemID="{DE010DFD-4189-4C2D-824E-F5A5D1E2C903}"/>
</file>

<file path=customXml/itemProps73.xml><?xml version="1.0" encoding="utf-8"?>
<ds:datastoreItem xmlns:ds="http://schemas.openxmlformats.org/officeDocument/2006/customXml" ds:itemID="{ECDA1695-7B5F-47DE-B7A7-75B7F67EB7BB}"/>
</file>

<file path=customXml/itemProps74.xml><?xml version="1.0" encoding="utf-8"?>
<ds:datastoreItem xmlns:ds="http://schemas.openxmlformats.org/officeDocument/2006/customXml" ds:itemID="{72330193-BD6A-4D6D-A520-F6FA605BB6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GRIGORAS C. ADELINA</cp:lastModifiedBy>
  <cp:revision/>
  <dcterms:created xsi:type="dcterms:W3CDTF">2006-09-16T00:00:00Z</dcterms:created>
  <dcterms:modified xsi:type="dcterms:W3CDTF">2022-01-17T13:34:16Z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0x010100EBF1F553163E144C99D24CE9CE62DF96</vt:lpwstr>
  </property>
</Properties>
</file>